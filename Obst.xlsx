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EB1FF1ED-FE9D-45FD-84BF-8B9CBAA95F06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1" l="1"/>
  <c r="E58" i="1"/>
  <c r="E57" i="1"/>
  <c r="E55" i="1"/>
  <c r="E53" i="1"/>
  <c r="E51" i="1"/>
  <c r="E50" i="1"/>
  <c r="E49" i="1"/>
  <c r="E48" i="1"/>
  <c r="D47" i="1"/>
  <c r="E47" i="1" s="1"/>
  <c r="E46" i="1"/>
  <c r="E45" i="1"/>
  <c r="E43" i="1"/>
  <c r="E42" i="1"/>
  <c r="E41" i="1"/>
  <c r="E40" i="1"/>
  <c r="E39" i="1"/>
  <c r="E38" i="1"/>
  <c r="E37" i="1"/>
  <c r="E36" i="1"/>
  <c r="E35" i="1"/>
  <c r="D34" i="1"/>
  <c r="E34" i="1" s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9" i="1" l="1"/>
</calcChain>
</file>

<file path=xl/sharedStrings.xml><?xml version="1.0" encoding="utf-8"?>
<sst xmlns="http://schemas.openxmlformats.org/spreadsheetml/2006/main" count="139" uniqueCount="107">
  <si>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</si>
  <si>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</si>
  <si>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</si>
  <si>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</si>
  <si>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</si>
  <si>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</si>
  <si>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</si>
  <si>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</si>
  <si>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</si>
  <si>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</si>
  <si>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</si>
  <si>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</si>
  <si>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</si>
  <si>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</si>
  <si>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</si>
  <si>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</si>
  <si>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</si>
  <si>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</si>
  <si>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</si>
  <si>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</si>
  <si>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</si>
  <si>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</si>
  <si>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</si>
  <si>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</si>
  <si>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</si>
  <si>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</si>
  <si>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</si>
  <si>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</si>
  <si>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</si>
  <si>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</si>
  <si>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</si>
  <si>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</si>
  <si>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</si>
  <si>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</si>
  <si>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</si>
  <si>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</si>
  <si>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</si>
  <si>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</si>
  <si>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</si>
  <si>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</si>
  <si>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</si>
  <si>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</si>
  <si>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</si>
  <si>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</si>
  <si>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</si>
  <si>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</si>
  <si>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</si>
  <si>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</si>
  <si>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</si>
  <si>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</si>
  <si>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</si>
  <si>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</si>
  <si>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</si>
  <si>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</si>
  <si>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</si>
  <si>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</si>
  <si>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</si>
  <si>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</si>
  <si>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</si>
  <si>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</si>
  <si>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</si>
  <si>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</si>
  <si>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</si>
  <si>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</si>
  <si>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</si>
  <si>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</si>
  <si>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</si>
  <si>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</si>
  <si>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</si>
  <si>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</si>
  <si>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</si>
  <si>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</si>
  <si>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</si>
  <si>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</si>
  <si>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</si>
  <si>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</si>
  <si>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</si>
  <si>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 – pauschal 440 €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</si>
  <si>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</si>
  <si>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</si>
  <si>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</si>
  <si>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</si>
  <si>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</si>
  <si>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</si>
  <si>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</si>
  <si>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</si>
  <si>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</si>
  <si>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</si>
  <si>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</si>
  <si>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</si>
  <si>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</si>
  <si>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</si>
  <si>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</si>
  <si>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 – pauschal 700 €</t>
  </si>
  <si>
    <t>(47.6422225, 13.7605517) Zustellung erst ab ca. 28.9.</t>
  </si>
  <si>
    <t>Gerhard Bayer</t>
  </si>
  <si>
    <t>Dorf 14, 5603 Kleinarl</t>
  </si>
  <si>
    <t>Abholung in Salzburg möglich</t>
  </si>
  <si>
    <t>Ferdinand Huber</t>
  </si>
  <si>
    <t>Kreuzsalgasse 4, 5603 Kleinarl</t>
  </si>
  <si>
    <t>(47.2765915, 13.3198029) – inkl. 25 € Trinkgeld</t>
  </si>
  <si>
    <t>Lukas Oblasser</t>
  </si>
  <si>
    <t>Marktparkplatz, 5602 Wagrain</t>
  </si>
  <si>
    <t>(47.333582, 13.295091) Abholung am Marktparkplatz Wagrain – Kunde kommt aus Osttirol</t>
  </si>
  <si>
    <t>Birnen Packham</t>
  </si>
  <si>
    <t>Äpfel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</si>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</sst>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1</v>
      </c>
      <c r="B34" s="9" t="s">
        <v>75</v>
      </c>
      <c r="C34" s="9">
        <v>340</v>
      </c>
      <c r="D34" s="9">
        <f>440/340</f>
        <v>1.2941176470588236</v>
      </c>
      <c r="E34" s="9">
        <f t="shared" si="1"/>
        <v>440</v>
      </c>
      <c r="F34" s="9" t="s">
        <v>76</v>
      </c>
      <c r="G34" s="9" t="s">
        <v>77</v>
      </c>
      <c r="H34" s="10">
        <v>46285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1</v>
      </c>
      <c r="B47" s="9" t="s">
        <v>91</v>
      </c>
      <c r="C47" s="9">
        <v>608</v>
      </c>
      <c r="D47" s="9">
        <f>700/608</f>
        <v>1.1513157894736843</v>
      </c>
      <c r="E47" s="9">
        <f t="shared" si="2"/>
        <v>700</v>
      </c>
      <c r="F47" s="9" t="s">
        <v>92</v>
      </c>
      <c r="G47" s="9" t="s">
        <v>93</v>
      </c>
      <c r="H47" s="10">
        <v>46285</v>
      </c>
    </row>
    <row r="48" spans="1:8" x14ac:dyDescent="0.35">
      <c r="A48" s="9" t="b">
        <v>1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  <c r="H48" s="10">
        <v>46285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94</v>
      </c>
      <c r="H50" s="9"/>
    </row>
    <row r="51" spans="1:8" x14ac:dyDescent="0.35">
      <c r="A51" s="9" t="b">
        <v>1</v>
      </c>
      <c r="B51" s="9" t="s">
        <v>95</v>
      </c>
      <c r="C51" s="9">
        <v>400</v>
      </c>
      <c r="D51" s="9">
        <v>1</v>
      </c>
      <c r="E51" s="9">
        <f t="shared" si="2"/>
        <v>400</v>
      </c>
      <c r="F51" s="9" t="s">
        <v>96</v>
      </c>
      <c r="G51" s="9" t="s">
        <v>97</v>
      </c>
      <c r="H51" s="10">
        <v>46287</v>
      </c>
    </row>
    <row r="52" spans="1:8" x14ac:dyDescent="0.35">
      <c r="A52" s="9" t="b">
        <v>1</v>
      </c>
      <c r="B52" s="9" t="s">
        <v>98</v>
      </c>
      <c r="C52" s="9">
        <v>200</v>
      </c>
      <c r="D52" s="9">
        <v>1.1000000000000001</v>
      </c>
      <c r="E52" s="9">
        <v>245</v>
      </c>
      <c r="F52" s="9" t="s">
        <v>99</v>
      </c>
      <c r="G52" s="9" t="s">
        <v>100</v>
      </c>
      <c r="H52" s="10">
        <v>46287</v>
      </c>
    </row>
    <row r="53" spans="1:8" x14ac:dyDescent="0.35">
      <c r="A53" s="9" t="b">
        <v>1</v>
      </c>
      <c r="B53" s="9" t="s">
        <v>101</v>
      </c>
      <c r="C53" s="9">
        <v>300</v>
      </c>
      <c r="D53" s="9">
        <v>1.2</v>
      </c>
      <c r="E53" s="9">
        <f>C53*D53</f>
        <v>360</v>
      </c>
      <c r="F53" s="9" t="s">
        <v>102</v>
      </c>
      <c r="G53" s="9" t="s">
        <v>103</v>
      </c>
      <c r="H53" s="10">
        <v>46287</v>
      </c>
    </row>
    <row r="54" spans="1:8" x14ac:dyDescent="0.35">
      <c r="A54" s="9"/>
      <c r="B54" s="9" t="s">
        <v>104</v>
      </c>
      <c r="C54" s="9"/>
      <c r="D54" s="9"/>
      <c r="E54" s="9"/>
      <c r="F54" s="9"/>
      <c r="G54" s="9"/>
      <c r="H54" s="9"/>
    </row>
    <row r="55" spans="1:8" x14ac:dyDescent="0.35">
      <c r="A55" s="9" t="b">
        <v>0</v>
      </c>
      <c r="B55" s="9" t="s">
        <v>28</v>
      </c>
      <c r="C55" s="9">
        <v>1000</v>
      </c>
      <c r="D55" s="9">
        <v>1.1000000000000001</v>
      </c>
      <c r="E55" s="9">
        <f>C55*D55</f>
        <v>1100</v>
      </c>
      <c r="F55" s="9" t="s">
        <v>29</v>
      </c>
      <c r="G55" s="9"/>
      <c r="H55" s="9"/>
    </row>
    <row r="56" spans="1:8" x14ac:dyDescent="0.35">
      <c r="A56" s="9"/>
      <c r="B56" s="9" t="s">
        <v>105</v>
      </c>
      <c r="C56" s="9"/>
      <c r="D56" s="9"/>
      <c r="E56" s="9"/>
      <c r="F56" s="9"/>
      <c r="G56" s="9"/>
    </row>
    <row r="57" spans="1:8" x14ac:dyDescent="0.35">
      <c r="A57" s="9" t="b">
        <v>1</v>
      </c>
      <c r="B57" s="9" t="s">
        <v>95</v>
      </c>
      <c r="C57" s="9">
        <v>400</v>
      </c>
      <c r="D57" s="9">
        <v>0.6</v>
      </c>
      <c r="E57" s="9">
        <f>C57*D57</f>
        <v>240</v>
      </c>
      <c r="F57" s="9" t="s">
        <v>96</v>
      </c>
      <c r="G57" s="9" t="s">
        <v>97</v>
      </c>
      <c r="H57" s="10">
        <v>46287</v>
      </c>
    </row>
    <row r="58" spans="1:8" x14ac:dyDescent="0.35">
      <c r="A58" s="9" t="b">
        <v>1</v>
      </c>
      <c r="B58" s="9" t="s">
        <v>98</v>
      </c>
      <c r="C58" s="9">
        <v>300</v>
      </c>
      <c r="D58" s="9">
        <v>0.75</v>
      </c>
      <c r="E58" s="9">
        <f>C58*D58</f>
        <v>225</v>
      </c>
      <c r="F58" s="9" t="s">
        <v>99</v>
      </c>
      <c r="G58" s="9" t="s">
        <v>106</v>
      </c>
      <c r="H58" s="10">
        <v>46287</v>
      </c>
    </row>
    <row r="59" spans="1:8" x14ac:dyDescent="0.35">
      <c r="A59" t="b">
        <v>0</v>
      </c>
      <c r="C59" s="3">
        <f>SUM(C2:C58)</f>
        <v>27098</v>
      </c>
      <c r="D59" s="3"/>
      <c r="E59" s="8">
        <f>SUM(E2:E58)</f>
        <v>34392.5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  <row r="76" spans="1:1" x14ac:dyDescent="0.35">
      <c r="A76" t="b">
        <v>0</v>
      </c>
    </row>
    <row r="77" spans="1:1" x14ac:dyDescent="0.35">
      <c r="A77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2026-09-22T17:18:19Z</dcterms:modified>
</cp:coreProperties>
</file>