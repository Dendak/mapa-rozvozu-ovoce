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lub\AppData\Local\Temp\claude\C--Users-holub-OneDrive---Privatgymnasium-der-Herz-Jesu-Missionare-Radtour-2026\cbd12823-693e-4f3b-bb7d-65f09b0003cf\scratchpad\"/>
    </mc:Choice>
  </mc:AlternateContent>
  <xr:revisionPtr revIDLastSave="0" documentId="13_ncr:1_{3950FA4B-A653-4228-82E9-8D29E34ECAD2}" xr6:coauthVersionLast="47" xr6:coauthVersionMax="47" xr10:uidLastSave="{00000000-0000-0000-0000-000000000000}"/>
  <bookViews>
    <workbookView xWindow="-37300" yWindow="1100" windowWidth="28800" windowHeight="1537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9" i="1" l="1"/>
  <c r="E58" i="1"/>
  <c r="E57" i="1"/>
  <c r="E55" i="1"/>
  <c r="E53" i="1"/>
  <c r="E51" i="1"/>
  <c r="E50" i="1"/>
  <c r="E49" i="1"/>
  <c r="E48" i="1"/>
  <c r="D47" i="1"/>
  <c r="E47" i="1" s="1"/>
  <c r="E46" i="1"/>
  <c r="E45" i="1"/>
  <c r="E43" i="1"/>
  <c r="E42" i="1"/>
  <c r="E41" i="1"/>
  <c r="E40" i="1"/>
  <c r="E39" i="1"/>
  <c r="E38" i="1"/>
  <c r="E37" i="1"/>
  <c r="E36" i="1"/>
  <c r="E35" i="1"/>
  <c r="D34" i="1"/>
  <c r="E34" i="1" s="1"/>
  <c r="D33" i="1"/>
  <c r="E33" i="1" s="1"/>
  <c r="D32" i="1"/>
  <c r="E32" i="1" s="1"/>
  <c r="E28" i="1"/>
  <c r="E27" i="1"/>
  <c r="E26" i="1"/>
  <c r="E25" i="1"/>
  <c r="D24" i="1"/>
  <c r="E24" i="1" s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2" i="1"/>
  <c r="E59" i="1" l="1"/>
</calcChain>
</file>

<file path=xl/sharedStrings.xml><?xml version="1.0" encoding="utf-8"?>
<sst xmlns="http://schemas.openxmlformats.org/spreadsheetml/2006/main" count="139" uniqueCount="107">
  <si>
    <t>Geliefert</t>
  </si>
  <si>
    <t>Weichsel</t>
  </si>
  <si>
    <t>Geliefert am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</si>
  <si>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</si>
  <si>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</si>
  <si>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</si>
  <si>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</si>
  <si>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</si>
  <si>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</si>
  <si>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</si>
  <si>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</si>
  <si>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</si>
  <si>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</si>
  <si>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</si>
  <si>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</si>
  <si>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</si>
  <si>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</si>
  <si>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</si>
  <si>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</si>
  <si>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</si>
  <si>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</si>
  <si>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</si>
  <si>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</si>
  <si>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Altaussee 29, 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</si>
  <si>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</si>
  <si>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</si>
  <si>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</si>
  <si>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</si>
  <si>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</si>
  <si>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</si>
  <si>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</si>
  <si>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</si>
  <si>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</si>
  <si>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</si>
  <si>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</si>
  <si>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</si>
  <si>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</si>
  <si>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</si>
  <si>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</si>
  <si>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</si>
  <si>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</si>
  <si>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</si>
  <si>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</si>
  <si>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</si>
  <si>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</si>
  <si>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</si>
  <si>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</si>
  <si>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</si>
  <si>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</si>
  <si>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</si>
  <si>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</si>
  <si>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</si>
  <si>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Armand, Pfarre Koppl</t>
  </si>
  <si>
    <t>Pfarramt Thalgau</t>
  </si>
  <si>
    <t>(47.8450105, 13.2584452) Übergabe in Koppl bei Peter Fuchs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</si>
  <si>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</si>
  <si>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</si>
  <si>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</si>
  <si>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</si>
  <si>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</si>
  <si>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</si>
  <si>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</si>
  <si>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</si>
  <si>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</si>
  <si>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</si>
  <si>
    <t>Briendl Michael</t>
  </si>
  <si>
    <t>Oberautal 12, 4642 Sattledt</t>
  </si>
  <si>
    <t>Zwetschken</t>
  </si>
  <si>
    <t>Endesgrabner Johann, Gasthof Troadkastn</t>
  </si>
  <si>
    <t>Rabenschwand 48, 4894 Oberhofen am Irrsee</t>
  </si>
  <si>
    <t>STORNIERT 2026 (OP) – ursprünglich 600 kg à 1,30 – meldet sich 2027 wieder, Tel. +43 664 4233933</t>
  </si>
  <si>
    <t>pauschal 350 €</t>
  </si>
  <si>
    <t>Daniel Steiner</t>
  </si>
  <si>
    <t>Markt 30, 5431 Kuchl</t>
  </si>
  <si>
    <t>pauschal 290 €</t>
  </si>
  <si>
    <t>Johann Lackner</t>
  </si>
  <si>
    <t>Gröbendorf 114, 5571 Mariapfarr</t>
  </si>
  <si>
    <t>Abholung in Salzburg oder Radstadt möglich – pauschal 440 €</t>
  </si>
  <si>
    <t>(47.8450105, 13.2584452)</t>
  </si>
  <si>
    <t>Rainer</t>
  </si>
  <si>
    <t>Erdmannsdorf 17, 4293 Gutau</t>
  </si>
  <si>
    <t>Sorte Elena</t>
  </si>
  <si>
    <t>Thomas Waldhör</t>
  </si>
  <si>
    <t>Roith 37, 4849 Puchkirchen</t>
  </si>
  <si>
    <t>ca. 400 kg, Zustellung evtl. am Wochenende, Tel. 0664/4412155</t>
  </si>
  <si>
    <t>(47.6422225, 13.7605517) Zustellung nach Hause erst ab Di 8.9.2026, Wunsch: Einwegkisten (nicht umfüllen)</t>
  </si>
  <si>
    <t>Friedl</t>
  </si>
  <si>
    <t>Pfarrhof 11, 4092 Esternberg</t>
  </si>
  <si>
    <t>Birnen Williams</t>
  </si>
  <si>
    <t>Haagweg 7, 5550 Radstadt</t>
  </si>
  <si>
    <t>2 Paletten, 1000 kg, 1100 €</t>
  </si>
  <si>
    <t>Christian Schlick</t>
  </si>
  <si>
    <t>Lamm 82, 5584 Zederhaus</t>
  </si>
  <si>
    <t>Abholung in Salzburg oder Radstadt möglich – pauschal 700 €</t>
  </si>
  <si>
    <t>(47.6422225, 13.7605517) Zustellung erst ab ca. 28.9.</t>
  </si>
  <si>
    <t>Gerhard Bayer</t>
  </si>
  <si>
    <t>Dorf 14, 5603 Kleinarl</t>
  </si>
  <si>
    <t>Abholung in Salzburg möglich</t>
  </si>
  <si>
    <t>Ferdinand Huber</t>
  </si>
  <si>
    <t>Kreuzsalgasse 4, 5603 Kleinarl</t>
  </si>
  <si>
    <t>(47.2765915, 13.3198029) – inkl. 25 € Trinkgeld</t>
  </si>
  <si>
    <t>Lukas Oblasser</t>
  </si>
  <si>
    <t>Marktparkplatz, 5602 Wagrain</t>
  </si>
  <si>
    <t>(47.333582, 13.295091) Abholung am Marktparkplatz Wagrain – Kunde kommt aus Osttirol</t>
  </si>
  <si>
    <t>Birnen Packham</t>
  </si>
  <si>
    <t>Äpfel</t>
  </si>
  <si>
    <t>(47.2765915, 13.3198029)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</si>
</sst>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€&quot;\ * #,##0.00_-;\-&quot;€&quot;\ * #,##0.00_-;_-&quot;€&quot;\ * &quot;-&quot;??_-;_-@_-"/>
    <numFmt numFmtId="164" formatCode="0\ &quot;kg&quot;"/>
    <numFmt numFmtId="165" formatCode="dd\.mm\.yyyy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11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4" fontId="0" fillId="0" borderId="0" xfId="0" applyNumberFormat="1"/>
    <xf numFmtId="0" fontId="1" fillId="0" borderId="0" xfId="0" applyFont="1"/>
    <xf numFmtId="165" fontId="1" fillId="0" borderId="0" xfId="0" applyNumberFormat="1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7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  <col min="8" max="8" width="13" customWidth="1"/>
  </cols>
  <sheetData>
    <row r="1" spans="1:8" x14ac:dyDescent="0.35">
      <c r="A1" t="s">
        <v>0</v>
      </c>
      <c r="B1" t="s">
        <v>1</v>
      </c>
      <c r="H1" s="9" t="s">
        <v>2</v>
      </c>
    </row>
    <row r="2" spans="1:8" x14ac:dyDescent="0.35">
      <c r="A2" t="b">
        <v>1</v>
      </c>
      <c r="B2" t="s">
        <v>3</v>
      </c>
      <c r="C2" s="3">
        <v>600</v>
      </c>
      <c r="D2" s="2">
        <v>1.5</v>
      </c>
      <c r="E2" s="2">
        <f>C2*D2</f>
        <v>900</v>
      </c>
      <c r="F2" t="s">
        <v>4</v>
      </c>
      <c r="H2" s="10">
        <v>46229</v>
      </c>
    </row>
    <row r="3" spans="1:8" x14ac:dyDescent="0.35">
      <c r="A3" t="b">
        <v>1</v>
      </c>
      <c r="B3" t="s">
        <v>5</v>
      </c>
      <c r="C3" s="3">
        <v>410</v>
      </c>
      <c r="D3" s="2">
        <v>1.5</v>
      </c>
      <c r="E3" s="2">
        <v>600</v>
      </c>
      <c r="F3" t="s">
        <v>6</v>
      </c>
      <c r="H3" s="10">
        <v>46233</v>
      </c>
    </row>
    <row r="4" spans="1:8" x14ac:dyDescent="0.35">
      <c r="A4" t="b">
        <v>1</v>
      </c>
      <c r="B4" t="s">
        <v>7</v>
      </c>
      <c r="C4" s="3">
        <v>1000</v>
      </c>
      <c r="D4" s="2">
        <v>1.5</v>
      </c>
      <c r="E4" s="2">
        <f>C4*D4</f>
        <v>1500</v>
      </c>
      <c r="F4" t="s">
        <v>8</v>
      </c>
      <c r="H4" s="10">
        <v>46233</v>
      </c>
    </row>
    <row r="5" spans="1:8" x14ac:dyDescent="0.35">
      <c r="A5" t="b">
        <v>1</v>
      </c>
      <c r="B5" t="s">
        <v>9</v>
      </c>
      <c r="C5" s="3">
        <v>200</v>
      </c>
      <c r="D5" s="2">
        <v>1.5</v>
      </c>
      <c r="E5" s="2">
        <v>340</v>
      </c>
      <c r="F5" t="s">
        <v>10</v>
      </c>
      <c r="G5" t="s">
        <v>11</v>
      </c>
      <c r="H5" s="10">
        <v>46229</v>
      </c>
    </row>
    <row r="6" spans="1:8" x14ac:dyDescent="0.35">
      <c r="A6" t="b">
        <v>1</v>
      </c>
      <c r="B6" t="s">
        <v>12</v>
      </c>
      <c r="C6" s="3">
        <v>350</v>
      </c>
      <c r="D6" s="2">
        <v>1.5</v>
      </c>
      <c r="E6" s="2">
        <f>C6*D6</f>
        <v>525</v>
      </c>
      <c r="F6" t="s">
        <v>13</v>
      </c>
      <c r="H6" s="10">
        <v>46231</v>
      </c>
    </row>
    <row r="7" spans="1:8" x14ac:dyDescent="0.35">
      <c r="A7" t="b">
        <v>1</v>
      </c>
      <c r="B7" t="s">
        <v>14</v>
      </c>
      <c r="C7" s="3">
        <v>1000</v>
      </c>
      <c r="D7" s="2">
        <v>1.5</v>
      </c>
      <c r="E7" s="2">
        <f>C7*D7</f>
        <v>1500</v>
      </c>
      <c r="F7" t="s">
        <v>15</v>
      </c>
      <c r="G7" t="s">
        <v>16</v>
      </c>
      <c r="H7" s="10">
        <v>46231</v>
      </c>
    </row>
    <row r="8" spans="1:8" x14ac:dyDescent="0.35">
      <c r="A8" t="b">
        <v>1</v>
      </c>
      <c r="B8" t="s">
        <v>17</v>
      </c>
      <c r="C8" s="3">
        <v>300</v>
      </c>
      <c r="D8" s="2">
        <v>1.5</v>
      </c>
      <c r="E8" s="2">
        <f>C8*D8</f>
        <v>450</v>
      </c>
      <c r="F8" s="5" t="s">
        <v>18</v>
      </c>
      <c r="G8" t="s">
        <v>19</v>
      </c>
      <c r="H8" s="10">
        <v>46238</v>
      </c>
    </row>
    <row r="9" spans="1:8" x14ac:dyDescent="0.35">
      <c r="A9" t="b">
        <v>1</v>
      </c>
      <c r="B9" t="s">
        <v>20</v>
      </c>
      <c r="C9" s="3">
        <v>400</v>
      </c>
      <c r="D9" s="2">
        <v>1.5</v>
      </c>
      <c r="E9" s="2">
        <f>C9*D9</f>
        <v>600</v>
      </c>
      <c r="F9" s="1" t="s">
        <v>21</v>
      </c>
      <c r="H9" s="10">
        <v>46229</v>
      </c>
    </row>
    <row r="10" spans="1:8" x14ac:dyDescent="0.35">
      <c r="A10" t="b">
        <v>1</v>
      </c>
      <c r="B10" t="s">
        <v>22</v>
      </c>
      <c r="C10" s="3">
        <v>200</v>
      </c>
      <c r="D10" s="2">
        <v>1.5</v>
      </c>
      <c r="E10" s="2">
        <f>C10*D10</f>
        <v>300</v>
      </c>
      <c r="F10" s="1" t="s">
        <v>23</v>
      </c>
      <c r="G10" t="s">
        <v>24</v>
      </c>
      <c r="H10" s="10">
        <v>46231</v>
      </c>
    </row>
    <row r="11" spans="1:8" x14ac:dyDescent="0.35">
      <c r="A11" t="b">
        <v>1</v>
      </c>
      <c r="B11" t="s">
        <v>25</v>
      </c>
      <c r="C11" s="3">
        <v>100</v>
      </c>
      <c r="D11" s="2">
        <v>1.5</v>
      </c>
      <c r="E11" s="2">
        <v>170</v>
      </c>
      <c r="F11" t="s">
        <v>26</v>
      </c>
      <c r="G11" t="s">
        <v>27</v>
      </c>
      <c r="H11" s="10">
        <v>46229</v>
      </c>
    </row>
    <row r="12" spans="1:8" x14ac:dyDescent="0.35">
      <c r="A12" t="b">
        <v>1</v>
      </c>
      <c r="B12" t="s">
        <v>28</v>
      </c>
      <c r="C12" s="3">
        <v>640</v>
      </c>
      <c r="D12" s="2">
        <v>1.5</v>
      </c>
      <c r="E12" s="2">
        <f t="shared" ref="E12:E28" si="0">C12*D12</f>
        <v>960</v>
      </c>
      <c r="F12" t="s">
        <v>29</v>
      </c>
      <c r="H12" s="10">
        <v>46233</v>
      </c>
    </row>
    <row r="13" spans="1:8" x14ac:dyDescent="0.35">
      <c r="A13" t="b">
        <v>1</v>
      </c>
      <c r="B13" t="s">
        <v>30</v>
      </c>
      <c r="C13" s="3">
        <v>900</v>
      </c>
      <c r="D13" s="2">
        <v>1.25</v>
      </c>
      <c r="E13" s="2">
        <f t="shared" si="0"/>
        <v>1125</v>
      </c>
      <c r="F13" s="1" t="s">
        <v>31</v>
      </c>
      <c r="H13" s="10">
        <v>46229</v>
      </c>
    </row>
    <row r="14" spans="1:8" x14ac:dyDescent="0.35">
      <c r="A14" t="b">
        <v>1</v>
      </c>
      <c r="B14" t="s">
        <v>32</v>
      </c>
      <c r="C14" s="3">
        <v>1000</v>
      </c>
      <c r="D14" s="2">
        <v>1</v>
      </c>
      <c r="E14" s="2">
        <f t="shared" si="0"/>
        <v>1000</v>
      </c>
      <c r="F14" t="s">
        <v>33</v>
      </c>
      <c r="H14" s="10">
        <v>46229</v>
      </c>
    </row>
    <row r="15" spans="1:8" x14ac:dyDescent="0.35">
      <c r="A15" t="b">
        <v>1</v>
      </c>
      <c r="B15" t="s">
        <v>34</v>
      </c>
      <c r="C15" s="3">
        <v>60</v>
      </c>
      <c r="D15" s="2">
        <v>1.5</v>
      </c>
      <c r="E15" s="2">
        <f t="shared" si="0"/>
        <v>90</v>
      </c>
      <c r="F15" t="s">
        <v>35</v>
      </c>
      <c r="H15" s="10">
        <v>46233</v>
      </c>
    </row>
    <row r="16" spans="1:8" x14ac:dyDescent="0.35">
      <c r="A16" t="b">
        <v>1</v>
      </c>
      <c r="B16" t="s">
        <v>36</v>
      </c>
      <c r="C16" s="3">
        <v>150</v>
      </c>
      <c r="D16" s="2">
        <v>1.5</v>
      </c>
      <c r="E16" s="2">
        <f t="shared" si="0"/>
        <v>225</v>
      </c>
      <c r="F16" t="s">
        <v>33</v>
      </c>
      <c r="G16" t="s">
        <v>37</v>
      </c>
      <c r="H16" s="10">
        <v>46221</v>
      </c>
    </row>
    <row r="17" spans="1:8" x14ac:dyDescent="0.35">
      <c r="A17" t="b">
        <v>1</v>
      </c>
      <c r="B17" t="s">
        <v>38</v>
      </c>
      <c r="C17" s="3">
        <v>600</v>
      </c>
      <c r="D17" s="2">
        <v>1.4</v>
      </c>
      <c r="E17" s="2">
        <f t="shared" si="0"/>
        <v>840</v>
      </c>
      <c r="F17" t="s">
        <v>39</v>
      </c>
      <c r="H17" s="10">
        <v>46231</v>
      </c>
    </row>
    <row r="18" spans="1:8" x14ac:dyDescent="0.35">
      <c r="A18" t="b">
        <v>1</v>
      </c>
      <c r="B18" t="s">
        <v>40</v>
      </c>
      <c r="C18" s="3">
        <v>3000</v>
      </c>
      <c r="D18" s="2">
        <v>1.3</v>
      </c>
      <c r="E18" s="2">
        <f t="shared" si="0"/>
        <v>3900</v>
      </c>
      <c r="F18" s="6" t="s">
        <v>41</v>
      </c>
      <c r="G18" t="s">
        <v>42</v>
      </c>
      <c r="H18" s="10">
        <v>46231</v>
      </c>
    </row>
    <row r="19" spans="1:8" x14ac:dyDescent="0.35">
      <c r="A19" t="b">
        <v>1</v>
      </c>
      <c r="B19" t="s">
        <v>43</v>
      </c>
      <c r="C19" s="3">
        <v>500</v>
      </c>
      <c r="D19" s="2">
        <v>1.5</v>
      </c>
      <c r="E19" s="2">
        <f t="shared" si="0"/>
        <v>750</v>
      </c>
      <c r="F19" t="s">
        <v>44</v>
      </c>
      <c r="G19" t="s">
        <v>45</v>
      </c>
      <c r="H19" s="10">
        <v>46231</v>
      </c>
    </row>
    <row r="20" spans="1:8" x14ac:dyDescent="0.35">
      <c r="A20" t="b">
        <v>1</v>
      </c>
      <c r="B20" t="s">
        <v>46</v>
      </c>
      <c r="C20" s="3">
        <v>200</v>
      </c>
      <c r="D20" s="2">
        <v>1.5</v>
      </c>
      <c r="E20" s="2">
        <f t="shared" si="0"/>
        <v>300</v>
      </c>
      <c r="F20" s="4" t="s">
        <v>47</v>
      </c>
      <c r="H20" s="10">
        <v>46222</v>
      </c>
    </row>
    <row r="21" spans="1:8" x14ac:dyDescent="0.35">
      <c r="A21" t="b">
        <v>1</v>
      </c>
      <c r="B21" t="s">
        <v>48</v>
      </c>
      <c r="C21" s="3">
        <v>200</v>
      </c>
      <c r="D21" s="2">
        <v>1.5</v>
      </c>
      <c r="E21" s="2">
        <f t="shared" si="0"/>
        <v>300</v>
      </c>
      <c r="F21" s="5" t="s">
        <v>49</v>
      </c>
      <c r="H21" s="10">
        <v>46229</v>
      </c>
    </row>
    <row r="22" spans="1:8" x14ac:dyDescent="0.35">
      <c r="A22" t="b">
        <v>1</v>
      </c>
      <c r="B22" t="s">
        <v>50</v>
      </c>
      <c r="C22" s="3">
        <v>540</v>
      </c>
      <c r="D22" s="2">
        <v>1.5</v>
      </c>
      <c r="E22" s="2">
        <f t="shared" si="0"/>
        <v>810</v>
      </c>
      <c r="F22" s="5" t="s">
        <v>51</v>
      </c>
      <c r="H22" s="10">
        <v>46222</v>
      </c>
    </row>
    <row r="23" spans="1:8" x14ac:dyDescent="0.35">
      <c r="A23" t="b">
        <v>1</v>
      </c>
      <c r="B23" t="s">
        <v>52</v>
      </c>
      <c r="C23" s="3">
        <v>100</v>
      </c>
      <c r="D23" s="2">
        <v>1.5</v>
      </c>
      <c r="E23" s="2">
        <f t="shared" si="0"/>
        <v>150</v>
      </c>
      <c r="F23" s="7" t="s">
        <v>53</v>
      </c>
      <c r="G23" t="s">
        <v>54</v>
      </c>
      <c r="H23" s="10">
        <v>46222</v>
      </c>
    </row>
    <row r="24" spans="1:8" x14ac:dyDescent="0.35">
      <c r="A24" t="b">
        <v>1</v>
      </c>
      <c r="B24" t="s">
        <v>55</v>
      </c>
      <c r="C24" s="3">
        <v>360</v>
      </c>
      <c r="D24" s="2">
        <f>400/360</f>
        <v>1.1111111111111112</v>
      </c>
      <c r="E24" s="2">
        <f t="shared" si="0"/>
        <v>400</v>
      </c>
      <c r="F24" s="7" t="s">
        <v>56</v>
      </c>
      <c r="G24" t="s">
        <v>57</v>
      </c>
      <c r="H24" s="10">
        <v>46222</v>
      </c>
    </row>
    <row r="25" spans="1:8" x14ac:dyDescent="0.35">
      <c r="A25" t="b">
        <v>1</v>
      </c>
      <c r="B25" t="s">
        <v>58</v>
      </c>
      <c r="C25">
        <v>950</v>
      </c>
      <c r="D25">
        <v>1.5</v>
      </c>
      <c r="E25">
        <f t="shared" si="0"/>
        <v>1425</v>
      </c>
      <c r="F25" t="s">
        <v>59</v>
      </c>
      <c r="G25" t="s">
        <v>60</v>
      </c>
      <c r="H25" s="10">
        <v>46233</v>
      </c>
    </row>
    <row r="26" spans="1:8" x14ac:dyDescent="0.35">
      <c r="A26" s="9" t="b">
        <v>1</v>
      </c>
      <c r="B26" s="9" t="s">
        <v>61</v>
      </c>
      <c r="C26" s="9">
        <v>300</v>
      </c>
      <c r="D26" s="9">
        <v>1.5</v>
      </c>
      <c r="E26" s="9">
        <f t="shared" si="0"/>
        <v>450</v>
      </c>
      <c r="F26" s="9" t="s">
        <v>62</v>
      </c>
      <c r="G26" s="9"/>
      <c r="H26" s="10">
        <v>46231</v>
      </c>
    </row>
    <row r="27" spans="1:8" x14ac:dyDescent="0.35">
      <c r="A27" s="9" t="b">
        <v>1</v>
      </c>
      <c r="B27" s="9" t="s">
        <v>63</v>
      </c>
      <c r="C27" s="9">
        <v>1000</v>
      </c>
      <c r="D27" s="9">
        <v>1.5</v>
      </c>
      <c r="E27" s="9">
        <f t="shared" si="0"/>
        <v>1500</v>
      </c>
      <c r="F27" s="9" t="s">
        <v>64</v>
      </c>
      <c r="G27" s="9"/>
      <c r="H27" s="10">
        <v>46238</v>
      </c>
    </row>
    <row r="28" spans="1:8" x14ac:dyDescent="0.35">
      <c r="A28" s="9" t="b">
        <v>1</v>
      </c>
      <c r="B28" s="9" t="s">
        <v>65</v>
      </c>
      <c r="C28" s="9">
        <v>300</v>
      </c>
      <c r="D28" s="9">
        <v>1.5</v>
      </c>
      <c r="E28" s="9">
        <f t="shared" si="0"/>
        <v>450</v>
      </c>
      <c r="F28" s="9" t="s">
        <v>66</v>
      </c>
      <c r="G28" s="9"/>
      <c r="H28" s="10">
        <v>46238</v>
      </c>
    </row>
    <row r="29" spans="1:8" x14ac:dyDescent="0.35">
      <c r="A29" t="b">
        <v>0</v>
      </c>
    </row>
    <row r="30" spans="1:8" x14ac:dyDescent="0.35">
      <c r="A30" s="9" t="b">
        <v>0</v>
      </c>
      <c r="B30" s="9" t="s">
        <v>67</v>
      </c>
      <c r="C30" s="9"/>
      <c r="D30" s="9"/>
      <c r="E30" s="9"/>
      <c r="F30" s="9"/>
      <c r="G30" s="9"/>
    </row>
    <row r="31" spans="1:8" x14ac:dyDescent="0.35">
      <c r="A31" s="9" t="b">
        <v>0</v>
      </c>
      <c r="B31" s="9" t="s">
        <v>68</v>
      </c>
      <c r="C31" s="9">
        <v>0</v>
      </c>
      <c r="D31" s="9"/>
      <c r="E31" s="9"/>
      <c r="F31" s="9" t="s">
        <v>69</v>
      </c>
      <c r="G31" s="9" t="s">
        <v>70</v>
      </c>
    </row>
    <row r="32" spans="1:8" x14ac:dyDescent="0.35">
      <c r="A32" s="9" t="b">
        <v>1</v>
      </c>
      <c r="B32" s="9" t="s">
        <v>55</v>
      </c>
      <c r="C32" s="9">
        <v>380</v>
      </c>
      <c r="D32" s="9">
        <f>350/380</f>
        <v>0.92105263157894735</v>
      </c>
      <c r="E32" s="9">
        <f t="shared" ref="E32:E43" si="1">C32*D32</f>
        <v>350</v>
      </c>
      <c r="F32" s="9" t="s">
        <v>56</v>
      </c>
      <c r="G32" s="9" t="s">
        <v>71</v>
      </c>
      <c r="H32" s="10">
        <v>46271</v>
      </c>
    </row>
    <row r="33" spans="1:8" x14ac:dyDescent="0.35">
      <c r="A33" s="9" t="b">
        <v>1</v>
      </c>
      <c r="B33" s="9" t="s">
        <v>72</v>
      </c>
      <c r="C33" s="9">
        <v>260</v>
      </c>
      <c r="D33" s="9">
        <f>290/260</f>
        <v>1.1153846153846154</v>
      </c>
      <c r="E33" s="9">
        <f t="shared" si="1"/>
        <v>290</v>
      </c>
      <c r="F33" s="9" t="s">
        <v>73</v>
      </c>
      <c r="G33" s="9" t="s">
        <v>74</v>
      </c>
      <c r="H33" s="10">
        <v>46271</v>
      </c>
    </row>
    <row r="34" spans="1:8" x14ac:dyDescent="0.35">
      <c r="A34" s="9" t="b">
        <v>1</v>
      </c>
      <c r="B34" s="9" t="s">
        <v>75</v>
      </c>
      <c r="C34" s="9">
        <v>340</v>
      </c>
      <c r="D34" s="9">
        <f>440/340</f>
        <v>1.2941176470588236</v>
      </c>
      <c r="E34" s="9">
        <f t="shared" si="1"/>
        <v>440</v>
      </c>
      <c r="F34" s="9" t="s">
        <v>76</v>
      </c>
      <c r="G34" s="9" t="s">
        <v>77</v>
      </c>
      <c r="H34" s="10">
        <v>46285</v>
      </c>
    </row>
    <row r="35" spans="1:8" x14ac:dyDescent="0.35">
      <c r="A35" s="9" t="b">
        <v>1</v>
      </c>
      <c r="B35" s="9" t="s">
        <v>52</v>
      </c>
      <c r="C35" s="9">
        <v>150</v>
      </c>
      <c r="D35" s="9">
        <v>1.25</v>
      </c>
      <c r="E35" s="9">
        <f t="shared" si="1"/>
        <v>187.5</v>
      </c>
      <c r="F35" s="9" t="s">
        <v>53</v>
      </c>
      <c r="G35" s="9" t="s">
        <v>78</v>
      </c>
      <c r="H35" s="10">
        <v>46281</v>
      </c>
    </row>
    <row r="36" spans="1:8" x14ac:dyDescent="0.35">
      <c r="A36" s="9" t="b">
        <v>1</v>
      </c>
      <c r="B36" s="9" t="s">
        <v>46</v>
      </c>
      <c r="C36" s="9">
        <v>200</v>
      </c>
      <c r="D36" s="9">
        <v>1.1000000000000001</v>
      </c>
      <c r="E36" s="9">
        <f t="shared" si="1"/>
        <v>220.00000000000003</v>
      </c>
      <c r="F36" s="9" t="s">
        <v>47</v>
      </c>
      <c r="G36" s="9"/>
      <c r="H36" s="10">
        <v>46264</v>
      </c>
    </row>
    <row r="37" spans="1:8" x14ac:dyDescent="0.35">
      <c r="A37" s="9" t="b">
        <v>1</v>
      </c>
      <c r="B37" s="9" t="s">
        <v>3</v>
      </c>
      <c r="C37" s="9">
        <v>600</v>
      </c>
      <c r="D37" s="9">
        <v>1.1000000000000001</v>
      </c>
      <c r="E37" s="9">
        <f t="shared" si="1"/>
        <v>660</v>
      </c>
      <c r="F37" s="9" t="s">
        <v>4</v>
      </c>
      <c r="G37" s="9"/>
      <c r="H37" s="10">
        <v>46264</v>
      </c>
    </row>
    <row r="38" spans="1:8" x14ac:dyDescent="0.35">
      <c r="A38" s="9" t="b">
        <v>1</v>
      </c>
      <c r="B38" s="9" t="s">
        <v>43</v>
      </c>
      <c r="C38" s="9">
        <v>600</v>
      </c>
      <c r="D38" s="9">
        <v>1.1000000000000001</v>
      </c>
      <c r="E38" s="9">
        <f t="shared" si="1"/>
        <v>660</v>
      </c>
      <c r="F38" s="9" t="s">
        <v>44</v>
      </c>
      <c r="G38" s="9"/>
      <c r="H38" s="10">
        <v>46264</v>
      </c>
    </row>
    <row r="39" spans="1:8" x14ac:dyDescent="0.35">
      <c r="A39" s="9" t="b">
        <v>1</v>
      </c>
      <c r="B39" s="9" t="s">
        <v>79</v>
      </c>
      <c r="C39" s="9">
        <v>300</v>
      </c>
      <c r="D39" s="9">
        <v>1.1000000000000001</v>
      </c>
      <c r="E39" s="9">
        <f t="shared" si="1"/>
        <v>330</v>
      </c>
      <c r="F39" s="9" t="s">
        <v>80</v>
      </c>
      <c r="G39" s="9"/>
      <c r="H39" s="10">
        <v>46264</v>
      </c>
    </row>
    <row r="40" spans="1:8" x14ac:dyDescent="0.35">
      <c r="A40" s="9" t="b">
        <v>1</v>
      </c>
      <c r="B40" s="9" t="s">
        <v>30</v>
      </c>
      <c r="C40" s="9">
        <v>1500</v>
      </c>
      <c r="D40" s="9">
        <v>1.1000000000000001</v>
      </c>
      <c r="E40" s="9">
        <f t="shared" si="1"/>
        <v>1650.0000000000002</v>
      </c>
      <c r="F40" s="9" t="s">
        <v>31</v>
      </c>
      <c r="G40" s="9" t="s">
        <v>81</v>
      </c>
      <c r="H40" s="10">
        <v>46294</v>
      </c>
    </row>
    <row r="41" spans="1:8" x14ac:dyDescent="0.35">
      <c r="A41" s="9" t="b">
        <v>1</v>
      </c>
      <c r="B41" s="9" t="s">
        <v>82</v>
      </c>
      <c r="C41" s="9">
        <v>400</v>
      </c>
      <c r="D41" s="9">
        <v>1.3</v>
      </c>
      <c r="E41" s="9">
        <f t="shared" si="1"/>
        <v>520</v>
      </c>
      <c r="F41" s="9" t="s">
        <v>83</v>
      </c>
      <c r="G41" s="9" t="s">
        <v>84</v>
      </c>
      <c r="H41" s="10">
        <v>46271</v>
      </c>
    </row>
    <row r="42" spans="1:8" x14ac:dyDescent="0.35">
      <c r="A42" s="9" t="b">
        <v>1</v>
      </c>
      <c r="B42" s="9" t="s">
        <v>22</v>
      </c>
      <c r="C42" s="9">
        <v>400</v>
      </c>
      <c r="D42" s="9">
        <v>1.1000000000000001</v>
      </c>
      <c r="E42" s="9">
        <f t="shared" si="1"/>
        <v>440.00000000000006</v>
      </c>
      <c r="F42" s="9" t="s">
        <v>23</v>
      </c>
      <c r="G42" s="9" t="s">
        <v>85</v>
      </c>
      <c r="H42" s="10">
        <v>46273</v>
      </c>
    </row>
    <row r="43" spans="1:8" x14ac:dyDescent="0.35">
      <c r="A43" s="9" t="b">
        <v>1</v>
      </c>
      <c r="B43" s="9" t="s">
        <v>86</v>
      </c>
      <c r="C43" s="9">
        <v>500</v>
      </c>
      <c r="D43" s="9">
        <v>0.95</v>
      </c>
      <c r="E43" s="9">
        <f t="shared" si="1"/>
        <v>475</v>
      </c>
      <c r="F43" s="9" t="s">
        <v>87</v>
      </c>
      <c r="G43" s="9"/>
      <c r="H43" s="10">
        <v>46274</v>
      </c>
    </row>
    <row r="44" spans="1:8" x14ac:dyDescent="0.35">
      <c r="A44" s="9" t="b">
        <v>0</v>
      </c>
      <c r="B44" s="9" t="s">
        <v>88</v>
      </c>
      <c r="C44" s="9"/>
      <c r="D44" s="9"/>
      <c r="E44" s="9"/>
      <c r="F44" s="9"/>
      <c r="G44" s="9"/>
    </row>
    <row r="45" spans="1:8" x14ac:dyDescent="0.35">
      <c r="A45" s="9" t="b">
        <v>1</v>
      </c>
      <c r="B45" s="9" t="s">
        <v>7</v>
      </c>
      <c r="C45" s="9">
        <v>1000</v>
      </c>
      <c r="D45" s="9">
        <v>1.1499999999999999</v>
      </c>
      <c r="E45" s="9">
        <f t="shared" ref="E45:E51" si="2">C45*D45</f>
        <v>1150</v>
      </c>
      <c r="F45" s="9" t="s">
        <v>89</v>
      </c>
      <c r="G45" s="9"/>
      <c r="H45" s="10">
        <v>46281</v>
      </c>
    </row>
    <row r="46" spans="1:8" x14ac:dyDescent="0.35">
      <c r="A46" s="9" t="b">
        <v>1</v>
      </c>
      <c r="B46" s="9" t="s">
        <v>43</v>
      </c>
      <c r="C46" s="9">
        <v>1000</v>
      </c>
      <c r="D46" s="9">
        <v>1.1000000000000001</v>
      </c>
      <c r="E46" s="9">
        <f t="shared" si="2"/>
        <v>1100</v>
      </c>
      <c r="F46" s="9" t="s">
        <v>44</v>
      </c>
      <c r="G46" s="9" t="s">
        <v>90</v>
      </c>
      <c r="H46" s="10">
        <v>46273</v>
      </c>
    </row>
    <row r="47" spans="1:8" x14ac:dyDescent="0.35">
      <c r="A47" s="9" t="b">
        <v>1</v>
      </c>
      <c r="B47" s="9" t="s">
        <v>91</v>
      </c>
      <c r="C47" s="9">
        <v>608</v>
      </c>
      <c r="D47" s="9">
        <f>700/608</f>
        <v>1.1513157894736843</v>
      </c>
      <c r="E47" s="9">
        <f t="shared" si="2"/>
        <v>700</v>
      </c>
      <c r="F47" s="9" t="s">
        <v>92</v>
      </c>
      <c r="G47" s="9" t="s">
        <v>93</v>
      </c>
      <c r="H47" s="10">
        <v>46285</v>
      </c>
    </row>
    <row r="48" spans="1:8" x14ac:dyDescent="0.35">
      <c r="A48" s="9" t="b">
        <v>1</v>
      </c>
      <c r="B48" s="9" t="s">
        <v>75</v>
      </c>
      <c r="C48" s="9">
        <v>300</v>
      </c>
      <c r="D48" s="9">
        <v>1.2</v>
      </c>
      <c r="E48" s="9">
        <f t="shared" si="2"/>
        <v>360</v>
      </c>
      <c r="F48" s="9" t="s">
        <v>76</v>
      </c>
      <c r="G48" s="9"/>
      <c r="H48" s="10">
        <v>46285</v>
      </c>
    </row>
    <row r="49" spans="1:8" x14ac:dyDescent="0.35">
      <c r="A49" s="9" t="b">
        <v>1</v>
      </c>
      <c r="B49" s="9" t="s">
        <v>52</v>
      </c>
      <c r="C49" s="9">
        <v>200</v>
      </c>
      <c r="D49" s="9">
        <v>1.25</v>
      </c>
      <c r="E49" s="9">
        <f t="shared" si="2"/>
        <v>250</v>
      </c>
      <c r="F49" s="9" t="s">
        <v>53</v>
      </c>
      <c r="G49" s="9" t="s">
        <v>78</v>
      </c>
      <c r="H49" s="10">
        <v>46281</v>
      </c>
    </row>
    <row r="50" spans="1:8" x14ac:dyDescent="0.35">
      <c r="A50" s="9" t="b">
        <v>0</v>
      </c>
      <c r="B50" s="9" t="s">
        <v>22</v>
      </c>
      <c r="C50" s="9">
        <v>400</v>
      </c>
      <c r="D50" s="9">
        <v>1.2</v>
      </c>
      <c r="E50" s="9">
        <f t="shared" si="2"/>
        <v>480</v>
      </c>
      <c r="F50" s="9" t="s">
        <v>23</v>
      </c>
      <c r="G50" s="9" t="s">
        <v>94</v>
      </c>
      <c r="H50" s="9"/>
    </row>
    <row r="51" spans="1:8" x14ac:dyDescent="0.35">
      <c r="A51" s="9" t="b">
        <v>1</v>
      </c>
      <c r="B51" s="9" t="s">
        <v>95</v>
      </c>
      <c r="C51" s="9">
        <v>400</v>
      </c>
      <c r="D51" s="9">
        <v>1</v>
      </c>
      <c r="E51" s="9">
        <f t="shared" si="2"/>
        <v>400</v>
      </c>
      <c r="F51" s="9" t="s">
        <v>96</v>
      </c>
      <c r="G51" s="9" t="s">
        <v>97</v>
      </c>
      <c r="H51" s="10">
        <v>46287</v>
      </c>
    </row>
    <row r="52" spans="1:8" x14ac:dyDescent="0.35">
      <c r="A52" s="9" t="b">
        <v>1</v>
      </c>
      <c r="B52" s="9" t="s">
        <v>98</v>
      </c>
      <c r="C52" s="9">
        <v>200</v>
      </c>
      <c r="D52" s="9">
        <v>1.1000000000000001</v>
      </c>
      <c r="E52" s="9">
        <v>245</v>
      </c>
      <c r="F52" s="9" t="s">
        <v>99</v>
      </c>
      <c r="G52" s="9" t="s">
        <v>100</v>
      </c>
      <c r="H52" s="10">
        <v>46287</v>
      </c>
    </row>
    <row r="53" spans="1:8" x14ac:dyDescent="0.35">
      <c r="A53" s="9" t="b">
        <v>1</v>
      </c>
      <c r="B53" s="9" t="s">
        <v>101</v>
      </c>
      <c r="C53" s="9">
        <v>300</v>
      </c>
      <c r="D53" s="9">
        <v>1.2</v>
      </c>
      <c r="E53" s="9">
        <f>C53*D53</f>
        <v>360</v>
      </c>
      <c r="F53" s="9" t="s">
        <v>102</v>
      </c>
      <c r="G53" s="9" t="s">
        <v>103</v>
      </c>
      <c r="H53" s="10">
        <v>46287</v>
      </c>
    </row>
    <row r="54" spans="1:8" x14ac:dyDescent="0.35">
      <c r="A54" s="9"/>
      <c r="B54" s="9" t="s">
        <v>104</v>
      </c>
      <c r="C54" s="9"/>
      <c r="D54" s="9"/>
      <c r="E54" s="9"/>
      <c r="F54" s="9"/>
      <c r="G54" s="9"/>
      <c r="H54" s="9"/>
    </row>
    <row r="55" spans="1:8" x14ac:dyDescent="0.35">
      <c r="A55" s="9" t="b">
        <v>0</v>
      </c>
      <c r="B55" s="9" t="s">
        <v>28</v>
      </c>
      <c r="C55" s="9">
        <v>1000</v>
      </c>
      <c r="D55" s="9">
        <v>1.1000000000000001</v>
      </c>
      <c r="E55" s="9">
        <f>C55*D55</f>
        <v>1100</v>
      </c>
      <c r="F55" s="9" t="s">
        <v>29</v>
      </c>
      <c r="G55" s="9"/>
      <c r="H55" s="9"/>
    </row>
    <row r="56" spans="1:8" x14ac:dyDescent="0.35">
      <c r="A56" s="9"/>
      <c r="B56" s="9" t="s">
        <v>105</v>
      </c>
      <c r="C56" s="9"/>
      <c r="D56" s="9"/>
      <c r="E56" s="9"/>
      <c r="F56" s="9"/>
      <c r="G56" s="9"/>
    </row>
    <row r="57" spans="1:8" x14ac:dyDescent="0.35">
      <c r="A57" s="9" t="b">
        <v>1</v>
      </c>
      <c r="B57" s="9" t="s">
        <v>95</v>
      </c>
      <c r="C57" s="9">
        <v>400</v>
      </c>
      <c r="D57" s="9">
        <v>0.6</v>
      </c>
      <c r="E57" s="9">
        <f>C57*D57</f>
        <v>240</v>
      </c>
      <c r="F57" s="9" t="s">
        <v>96</v>
      </c>
      <c r="G57" s="9" t="s">
        <v>97</v>
      </c>
      <c r="H57" s="10">
        <v>46287</v>
      </c>
    </row>
    <row r="58" spans="1:8" x14ac:dyDescent="0.35">
      <c r="A58" s="9" t="b">
        <v>1</v>
      </c>
      <c r="B58" s="9" t="s">
        <v>98</v>
      </c>
      <c r="C58" s="9">
        <v>300</v>
      </c>
      <c r="D58" s="9">
        <v>0.75</v>
      </c>
      <c r="E58" s="9">
        <f>C58*D58</f>
        <v>225</v>
      </c>
      <c r="F58" s="9" t="s">
        <v>99</v>
      </c>
      <c r="G58" s="9" t="s">
        <v>106</v>
      </c>
      <c r="H58" s="10">
        <v>46287</v>
      </c>
    </row>
    <row r="59" spans="1:8" x14ac:dyDescent="0.35">
      <c r="A59" t="b">
        <v>0</v>
      </c>
      <c r="C59" s="3">
        <f>SUM(C2:C58)</f>
        <v>27098</v>
      </c>
      <c r="D59" s="3"/>
      <c r="E59" s="8">
        <f>SUM(E2:E58)</f>
        <v>34392.5</v>
      </c>
    </row>
    <row r="60" spans="1:8" x14ac:dyDescent="0.35">
      <c r="A60" t="b">
        <v>0</v>
      </c>
    </row>
    <row r="61" spans="1:8" x14ac:dyDescent="0.35">
      <c r="A61" t="b">
        <v>0</v>
      </c>
    </row>
    <row r="62" spans="1:8" x14ac:dyDescent="0.35">
      <c r="A62" t="b">
        <v>0</v>
      </c>
    </row>
    <row r="63" spans="1:8" x14ac:dyDescent="0.35">
      <c r="A63" t="b">
        <v>0</v>
      </c>
    </row>
    <row r="64" spans="1:8" x14ac:dyDescent="0.35">
      <c r="A64" t="b">
        <v>0</v>
      </c>
    </row>
    <row r="65" spans="1:1" x14ac:dyDescent="0.35">
      <c r="A65" t="b">
        <v>0</v>
      </c>
    </row>
    <row r="66" spans="1:1" x14ac:dyDescent="0.35">
      <c r="A66" t="b">
        <v>0</v>
      </c>
    </row>
    <row r="67" spans="1:1" x14ac:dyDescent="0.35">
      <c r="A67" t="b">
        <v>0</v>
      </c>
    </row>
    <row r="68" spans="1:1" x14ac:dyDescent="0.35">
      <c r="A68" t="b">
        <v>0</v>
      </c>
    </row>
    <row r="69" spans="1:1" x14ac:dyDescent="0.35">
      <c r="A69" t="b">
        <v>0</v>
      </c>
    </row>
    <row r="70" spans="1:1" x14ac:dyDescent="0.35">
      <c r="A70" t="b">
        <v>0</v>
      </c>
    </row>
    <row r="71" spans="1:1" x14ac:dyDescent="0.35">
      <c r="A71" t="b">
        <v>0</v>
      </c>
    </row>
    <row r="72" spans="1:1" x14ac:dyDescent="0.35">
      <c r="A72" t="b">
        <v>0</v>
      </c>
    </row>
    <row r="73" spans="1:1" x14ac:dyDescent="0.35">
      <c r="A73" t="b">
        <v>0</v>
      </c>
    </row>
    <row r="74" spans="1:1" x14ac:dyDescent="0.35">
      <c r="A74" t="b">
        <v>0</v>
      </c>
    </row>
    <row r="75" spans="1:1" x14ac:dyDescent="0.35">
      <c r="A75" t="b">
        <v>0</v>
      </c>
    </row>
    <row r="76" spans="1:1" x14ac:dyDescent="0.35">
      <c r="A76" t="b">
        <v>0</v>
      </c>
    </row>
    <row r="77" spans="1:1" x14ac:dyDescent="0.35">
      <c r="A77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2026-09-29T12:57:58Z</dcterms:modified>
</cp:coreProperties>
</file>