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<sst xmlns="http://schemas.openxmlformats.org/spreadsheetml/2006/main" count="149" uniqueCount="113">
  <si>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</si>
  <si>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</si>
  <si>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</si>
  <si>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</si>
  <si>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</si>
  <si>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</si>
  <si>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</si>
  <si>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</si>
  <si>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</si>
  <si>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</si>
  <si>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</si>
  <si>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</si>
  <si>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</si>
  <si>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</si>
  <si>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</si>
  <si>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</si>
  <si>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</si>
  <si>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</si>
  <si>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</si>
  <si>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</si>
  <si>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</si>
  <si>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</si>
  <si>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</si>
  <si>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</si>
  <si>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</si>
  <si>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</si>
  <si>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</si>
  <si>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</si>
  <si>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</si>
  <si>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</si>
  <si>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</si>
  <si>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</si>
  <si>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</si>
  <si>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</si>
  <si>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</si>
  <si>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</si>
  <si>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</si>
  <si>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</si>
  <si>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</si>
  <si>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</si>
  <si>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</si>
  <si>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</si>
  <si>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</si>
  <si>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</si>
  <si>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</si>
  <si>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</si>
  <si>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</si>
  <si>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</si>
  <si>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</si>
  <si>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</si>
  <si>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</si>
  <si>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</si>
  <si>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</si>
  <si>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</si>
  <si>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</si>
  <si>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</si>
  <si>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</si>
  <si>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</si>
  <si>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</si>
  <si>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</si>
  <si>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</si>
  <si>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</si>
  <si>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</si>
  <si>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</si>
  <si>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</si>
  <si>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</si>
  <si>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</si>
  <si>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</si>
  <si>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</si>
  <si>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</si>
  <si>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</si>
  <si>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</si>
  <si>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</si>
  <si>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</si>
  <si>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</si>
  <si>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</si>
  <si>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</si>
  <si>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</si>
  <si>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</si>
  <si>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</si>
  <si>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</si>
  <si>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</si>
  <si>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</si>
  <si>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</si>
  <si>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</si>
  <si>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</si>
  <si>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</si>
  <si>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</si>
  <si>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</si>
  <si>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</si>
  <si>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</si>
  <si>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</si>
  <si>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</si>
  <si>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</si>
  <si>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Zustellung erst ab ca. 28.9.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</si>
  <si>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</si>
  <si>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</si>
  <si>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</si>
  <si>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</si>
  <si>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</si>
  <si>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</si>
  <si>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</si>
  <si>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</si>
  <si>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</si>
  <si>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</si>
  <si>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</si>
  <si>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Birnen Konference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</si>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</sst>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&quot; kg&quot;"/>
    <numFmt numFmtId="167" formatCode="_(\$* #,##0.00_);_(\$* \(#,##0.00\);_(\$* \-??_);_(@_)"/>
    <numFmt numFmtId="168" formatCode="_-&quot;€ &quot;* #,##0.00_-;&quot;-€ &quot;* #,##0.00_-;_-&quot;€ &quot;* \-??_-;_-@_-"/>
    <numFmt numFmtId="169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0" width="19"/>
    <col collapsed="false" customWidth="true" hidden="false" outlineLevel="0" max="3" min="3" style="0" width="23.27"/>
    <col collapsed="false" customWidth="true" hidden="false" outlineLevel="0" max="4" min="4" style="0" width="8.37"/>
    <col collapsed="false" customWidth="true" hidden="false" outlineLevel="0" max="5" min="5" style="0" width="12"/>
    <col collapsed="false" customWidth="true" hidden="false" outlineLevel="0" max="6" min="6" style="0" width="31.45"/>
    <col collapsed="false" customWidth="true" hidden="false" outlineLevel="0" max="8" min="8" style="0" width="13"/>
  </cols>
  <sheetData>
    <row r="1" customFormat="false" ht="14.25" hidden="false" customHeight="false" outlineLevel="0" collapsed="false">
      <c r="A1" s="0" t="s">
        <v>0</v>
      </c>
      <c r="B1" s="0" t="s">
        <v>1</v>
      </c>
      <c r="H1" s="1" t="s">
        <v>2</v>
      </c>
    </row>
    <row r="2" customFormat="false" ht="14.25" hidden="false" customHeight="false" outlineLevel="0" collapsed="false">
      <c r="A2" s="2" t="b">
        <f aca="false">TRUE()</f>
        <v>1</v>
      </c>
      <c r="B2" s="1" t="s">
        <v>3</v>
      </c>
      <c r="C2" s="3" t="n">
        <v>600</v>
      </c>
      <c r="D2" s="4" t="n">
        <v>1.5</v>
      </c>
      <c r="E2" s="4" t="n">
        <f aca="false">C2*D2</f>
        <v>900</v>
      </c>
      <c r="F2" s="1" t="s">
        <v>4</v>
      </c>
      <c r="G2" s="1"/>
      <c r="H2" s="5" t="n">
        <v>46229</v>
      </c>
    </row>
    <row r="3" customFormat="false" ht="14.25" hidden="false" customHeight="false" outlineLevel="0" collapsed="false">
      <c r="A3" s="2" t="b">
        <f aca="false">TRUE()</f>
        <v>1</v>
      </c>
      <c r="B3" s="1" t="s">
        <v>5</v>
      </c>
      <c r="C3" s="3" t="n">
        <v>410</v>
      </c>
      <c r="D3" s="4" t="n">
        <v>1.5</v>
      </c>
      <c r="E3" s="4" t="n">
        <v>600</v>
      </c>
      <c r="F3" s="1" t="s">
        <v>6</v>
      </c>
      <c r="G3" s="1"/>
      <c r="H3" s="5" t="n">
        <v>46233</v>
      </c>
    </row>
    <row r="4" customFormat="false" ht="14.25" hidden="false" customHeight="false" outlineLevel="0" collapsed="false">
      <c r="A4" s="2" t="b">
        <f aca="false">TRUE()</f>
        <v>1</v>
      </c>
      <c r="B4" s="1" t="s">
        <v>7</v>
      </c>
      <c r="C4" s="3" t="n">
        <v>1000</v>
      </c>
      <c r="D4" s="4" t="n">
        <v>1.5</v>
      </c>
      <c r="E4" s="4" t="n">
        <f aca="false">C4*D4</f>
        <v>1500</v>
      </c>
      <c r="F4" s="1" t="s">
        <v>8</v>
      </c>
      <c r="G4" s="1"/>
      <c r="H4" s="5" t="n">
        <v>46233</v>
      </c>
    </row>
    <row r="5" customFormat="false" ht="14.25" hidden="false" customHeight="false" outlineLevel="0" collapsed="false">
      <c r="A5" s="2" t="b">
        <f aca="false">TRUE()</f>
        <v>1</v>
      </c>
      <c r="B5" s="1" t="s">
        <v>9</v>
      </c>
      <c r="C5" s="3" t="n">
        <v>200</v>
      </c>
      <c r="D5" s="4" t="n">
        <v>1.5</v>
      </c>
      <c r="E5" s="4" t="n">
        <v>340</v>
      </c>
      <c r="F5" s="1" t="s">
        <v>10</v>
      </c>
      <c r="G5" s="1" t="s">
        <v>11</v>
      </c>
      <c r="H5" s="5" t="n">
        <v>46229</v>
      </c>
    </row>
    <row r="6" customFormat="false" ht="14.25" hidden="false" customHeight="false" outlineLevel="0" collapsed="false">
      <c r="A6" s="2" t="b">
        <f aca="false">TRUE()</f>
        <v>1</v>
      </c>
      <c r="B6" s="1" t="s">
        <v>12</v>
      </c>
      <c r="C6" s="3" t="n">
        <v>350</v>
      </c>
      <c r="D6" s="4" t="n">
        <v>1.5</v>
      </c>
      <c r="E6" s="4" t="n">
        <f aca="false">C6*D6</f>
        <v>525</v>
      </c>
      <c r="F6" s="1" t="s">
        <v>13</v>
      </c>
      <c r="G6" s="1"/>
      <c r="H6" s="5" t="n">
        <v>46231</v>
      </c>
    </row>
    <row r="7" customFormat="false" ht="14.25" hidden="false" customHeight="false" outlineLevel="0" collapsed="false">
      <c r="A7" s="2" t="b">
        <f aca="false">TRUE()</f>
        <v>1</v>
      </c>
      <c r="B7" s="1" t="s">
        <v>14</v>
      </c>
      <c r="C7" s="3" t="n">
        <v>1000</v>
      </c>
      <c r="D7" s="4" t="n">
        <v>1.5</v>
      </c>
      <c r="E7" s="4" t="n">
        <f aca="false">C7*D7</f>
        <v>1500</v>
      </c>
      <c r="F7" s="1" t="s">
        <v>15</v>
      </c>
      <c r="G7" s="1" t="s">
        <v>16</v>
      </c>
      <c r="H7" s="5" t="n">
        <v>46231</v>
      </c>
    </row>
    <row r="8" customFormat="false" ht="14.25" hidden="false" customHeight="false" outlineLevel="0" collapsed="false">
      <c r="A8" s="2" t="b">
        <f aca="false">TRUE()</f>
        <v>1</v>
      </c>
      <c r="B8" s="1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1" t="s">
        <v>19</v>
      </c>
      <c r="H8" s="5" t="n">
        <v>46238</v>
      </c>
    </row>
    <row r="9" customFormat="false" ht="14.25" hidden="false" customHeight="false" outlineLevel="0" collapsed="false">
      <c r="A9" s="2" t="b">
        <f aca="false">TRUE()</f>
        <v>1</v>
      </c>
      <c r="B9" s="1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1"/>
      <c r="H9" s="5" t="n">
        <v>46229</v>
      </c>
    </row>
    <row r="10" customFormat="false" ht="14.25" hidden="false" customHeight="false" outlineLevel="0" collapsed="false">
      <c r="A10" s="2" t="b">
        <f aca="false">TRUE()</f>
        <v>1</v>
      </c>
      <c r="B10" s="1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1" t="s">
        <v>24</v>
      </c>
      <c r="H10" s="5" t="n">
        <v>46231</v>
      </c>
    </row>
    <row r="11" customFormat="false" ht="14.25" hidden="false" customHeight="false" outlineLevel="0" collapsed="false">
      <c r="A11" s="2" t="b">
        <f aca="false">TRUE()</f>
        <v>1</v>
      </c>
      <c r="B11" s="1" t="s">
        <v>25</v>
      </c>
      <c r="C11" s="3" t="n">
        <v>100</v>
      </c>
      <c r="D11" s="4" t="n">
        <v>1.5</v>
      </c>
      <c r="E11" s="4" t="n">
        <v>170</v>
      </c>
      <c r="F11" s="1" t="s">
        <v>26</v>
      </c>
      <c r="G11" s="1" t="s">
        <v>27</v>
      </c>
      <c r="H11" s="5" t="n">
        <v>46229</v>
      </c>
    </row>
    <row r="12" customFormat="false" ht="14.25" hidden="false" customHeight="false" outlineLevel="0" collapsed="false">
      <c r="A12" s="2" t="b">
        <f aca="false">TRUE()</f>
        <v>1</v>
      </c>
      <c r="B12" s="1" t="s">
        <v>28</v>
      </c>
      <c r="C12" s="3" t="n">
        <v>640</v>
      </c>
      <c r="D12" s="4" t="n">
        <v>1.5</v>
      </c>
      <c r="E12" s="4" t="n">
        <f aca="false">C12*D12</f>
        <v>960</v>
      </c>
      <c r="F12" s="1" t="s">
        <v>29</v>
      </c>
      <c r="G12" s="1"/>
      <c r="H12" s="5" t="n">
        <v>46233</v>
      </c>
    </row>
    <row r="13" customFormat="false" ht="14.25" hidden="false" customHeight="false" outlineLevel="0" collapsed="false">
      <c r="A13" s="2" t="b">
        <f aca="false">TRUE()</f>
        <v>1</v>
      </c>
      <c r="B13" s="1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1"/>
      <c r="H13" s="5" t="n">
        <v>46229</v>
      </c>
    </row>
    <row r="14" customFormat="false" ht="14.25" hidden="false" customHeight="false" outlineLevel="0" collapsed="false">
      <c r="A14" s="2" t="b">
        <f aca="false">TRUE()</f>
        <v>1</v>
      </c>
      <c r="B14" s="1" t="s">
        <v>32</v>
      </c>
      <c r="C14" s="3" t="n">
        <v>1000</v>
      </c>
      <c r="D14" s="4" t="n">
        <v>1</v>
      </c>
      <c r="E14" s="4" t="n">
        <f aca="false">C14*D14</f>
        <v>1000</v>
      </c>
      <c r="F14" s="1" t="s">
        <v>33</v>
      </c>
      <c r="G14" s="1"/>
      <c r="H14" s="5" t="n">
        <v>46229</v>
      </c>
    </row>
    <row r="15" customFormat="false" ht="14.25" hidden="false" customHeight="false" outlineLevel="0" collapsed="false">
      <c r="A15" s="2" t="b">
        <f aca="false">TRUE()</f>
        <v>1</v>
      </c>
      <c r="B15" s="1" t="s">
        <v>34</v>
      </c>
      <c r="C15" s="3" t="n">
        <v>60</v>
      </c>
      <c r="D15" s="4" t="n">
        <v>1.5</v>
      </c>
      <c r="E15" s="4" t="n">
        <f aca="false">C15*D15</f>
        <v>90</v>
      </c>
      <c r="F15" s="1" t="s">
        <v>35</v>
      </c>
      <c r="G15" s="1"/>
      <c r="H15" s="5" t="n">
        <v>46233</v>
      </c>
    </row>
    <row r="16" customFormat="false" ht="14.25" hidden="false" customHeight="false" outlineLevel="0" collapsed="false">
      <c r="A16" s="2" t="b">
        <f aca="false">TRUE()</f>
        <v>1</v>
      </c>
      <c r="B16" s="1" t="s">
        <v>36</v>
      </c>
      <c r="C16" s="3" t="n">
        <v>150</v>
      </c>
      <c r="D16" s="4" t="n">
        <v>1.5</v>
      </c>
      <c r="E16" s="4" t="n">
        <f aca="false">C16*D16</f>
        <v>225</v>
      </c>
      <c r="F16" s="1" t="s">
        <v>33</v>
      </c>
      <c r="G16" s="1" t="s">
        <v>37</v>
      </c>
      <c r="H16" s="5" t="n">
        <v>46221</v>
      </c>
    </row>
    <row r="17" customFormat="false" ht="14.25" hidden="false" customHeight="false" outlineLevel="0" collapsed="false">
      <c r="A17" s="2" t="b">
        <f aca="false">TRUE()</f>
        <v>1</v>
      </c>
      <c r="B17" s="1" t="s">
        <v>38</v>
      </c>
      <c r="C17" s="3" t="n">
        <v>600</v>
      </c>
      <c r="D17" s="4" t="n">
        <v>1.4</v>
      </c>
      <c r="E17" s="4" t="n">
        <f aca="false">C17*D17</f>
        <v>840</v>
      </c>
      <c r="F17" s="1" t="s">
        <v>39</v>
      </c>
      <c r="G17" s="1"/>
      <c r="H17" s="5" t="n">
        <v>46231</v>
      </c>
    </row>
    <row r="18" customFormat="false" ht="14.25" hidden="false" customHeight="false" outlineLevel="0" collapsed="false">
      <c r="A18" s="2" t="b">
        <f aca="false">TRUE()</f>
        <v>1</v>
      </c>
      <c r="B18" s="1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1" t="s">
        <v>42</v>
      </c>
      <c r="H18" s="5" t="n">
        <v>46231</v>
      </c>
    </row>
    <row r="19" customFormat="false" ht="14.25" hidden="false" customHeight="false" outlineLevel="0" collapsed="false">
      <c r="A19" s="2" t="b">
        <f aca="false">TRUE()</f>
        <v>1</v>
      </c>
      <c r="B19" s="1" t="s">
        <v>43</v>
      </c>
      <c r="C19" s="3" t="n">
        <v>500</v>
      </c>
      <c r="D19" s="4" t="n">
        <v>1.5</v>
      </c>
      <c r="E19" s="4" t="n">
        <f aca="false">C19*D19</f>
        <v>750</v>
      </c>
      <c r="F19" s="1" t="s">
        <v>44</v>
      </c>
      <c r="G19" s="1" t="s">
        <v>45</v>
      </c>
      <c r="H19" s="5" t="n">
        <v>46231</v>
      </c>
    </row>
    <row r="20" customFormat="false" ht="14.25" hidden="false" customHeight="false" outlineLevel="0" collapsed="false">
      <c r="A20" s="2" t="b">
        <f aca="false">TRUE()</f>
        <v>1</v>
      </c>
      <c r="B20" s="1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1"/>
      <c r="H20" s="5" t="n">
        <v>46222</v>
      </c>
    </row>
    <row r="21" customFormat="false" ht="14.25" hidden="false" customHeight="false" outlineLevel="0" collapsed="false">
      <c r="A21" s="2" t="b">
        <f aca="false">TRUE()</f>
        <v>1</v>
      </c>
      <c r="B21" s="1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1"/>
      <c r="H21" s="5" t="n">
        <v>46229</v>
      </c>
    </row>
    <row r="22" customFormat="false" ht="14.25" hidden="false" customHeight="false" outlineLevel="0" collapsed="false">
      <c r="A22" s="2" t="b">
        <f aca="false">TRUE()</f>
        <v>1</v>
      </c>
      <c r="B22" s="1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1"/>
      <c r="H22" s="5" t="n">
        <v>46222</v>
      </c>
    </row>
    <row r="23" customFormat="false" ht="14.25" hidden="false" customHeight="false" outlineLevel="0" collapsed="false">
      <c r="A23" s="2" t="b">
        <f aca="false">TRUE()</f>
        <v>1</v>
      </c>
      <c r="B23" s="1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1" t="s">
        <v>54</v>
      </c>
      <c r="H23" s="5" t="n">
        <v>46222</v>
      </c>
    </row>
    <row r="24" customFormat="false" ht="14.25" hidden="false" customHeight="false" outlineLevel="0" collapsed="false">
      <c r="A24" s="2" t="b">
        <f aca="false">TRUE()</f>
        <v>1</v>
      </c>
      <c r="B24" s="1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1" t="s">
        <v>57</v>
      </c>
      <c r="H24" s="5" t="n">
        <v>46222</v>
      </c>
    </row>
    <row r="25" customFormat="false" ht="14.25" hidden="false" customHeight="false" outlineLevel="0" collapsed="false">
      <c r="A25" s="2" t="b">
        <f aca="false">TRUE()</f>
        <v>1</v>
      </c>
      <c r="B25" s="1" t="s">
        <v>58</v>
      </c>
      <c r="C25" s="1" t="n">
        <v>950</v>
      </c>
      <c r="D25" s="1" t="n">
        <v>1.5</v>
      </c>
      <c r="E25" s="1" t="n">
        <f aca="false">C25*D25</f>
        <v>1425</v>
      </c>
      <c r="F25" s="1" t="s">
        <v>59</v>
      </c>
      <c r="G25" s="1" t="s">
        <v>60</v>
      </c>
      <c r="H25" s="5" t="n">
        <v>46233</v>
      </c>
    </row>
    <row r="26" customFormat="false" ht="14.25" hidden="false" customHeight="false" outlineLevel="0" collapsed="false">
      <c r="A26" s="11" t="b">
        <f aca="false">TRUE()</f>
        <v>1</v>
      </c>
      <c r="B26" s="1" t="s">
        <v>61</v>
      </c>
      <c r="C26" s="1" t="n">
        <v>300</v>
      </c>
      <c r="D26" s="1" t="n">
        <v>1.5</v>
      </c>
      <c r="E26" s="1" t="n">
        <f aca="false">C26*D26</f>
        <v>450</v>
      </c>
      <c r="F26" s="1" t="s">
        <v>62</v>
      </c>
      <c r="G26" s="1"/>
      <c r="H26" s="5" t="n">
        <v>46231</v>
      </c>
    </row>
    <row r="27" customFormat="false" ht="14.25" hidden="false" customHeight="false" outlineLevel="0" collapsed="false">
      <c r="A27" s="11" t="b">
        <f aca="false">TRUE()</f>
        <v>1</v>
      </c>
      <c r="B27" s="1" t="s">
        <v>63</v>
      </c>
      <c r="C27" s="1" t="n">
        <v>1000</v>
      </c>
      <c r="D27" s="1" t="n">
        <v>1.5</v>
      </c>
      <c r="E27" s="1" t="n">
        <f aca="false">C27*D27</f>
        <v>1500</v>
      </c>
      <c r="F27" s="1" t="s">
        <v>64</v>
      </c>
      <c r="G27" s="1"/>
      <c r="H27" s="5" t="n">
        <v>46238</v>
      </c>
    </row>
    <row r="28" customFormat="false" ht="14.25" hidden="false" customHeight="false" outlineLevel="0" collapsed="false">
      <c r="A28" s="11" t="b">
        <f aca="false">TRUE()</f>
        <v>1</v>
      </c>
      <c r="B28" s="1" t="s">
        <v>65</v>
      </c>
      <c r="C28" s="1" t="n">
        <v>300</v>
      </c>
      <c r="D28" s="1" t="n">
        <v>1.5</v>
      </c>
      <c r="E28" s="1" t="n">
        <f aca="false">C28*D28</f>
        <v>450</v>
      </c>
      <c r="F28" s="1" t="s">
        <v>66</v>
      </c>
      <c r="G28" s="1"/>
      <c r="H28" s="5" t="n">
        <v>46238</v>
      </c>
    </row>
    <row r="29" customFormat="false" ht="14.25" hidden="false" customHeight="false" outlineLevel="0" collapsed="false">
      <c r="A29" s="2" t="b">
        <f aca="false">FALSE()</f>
        <v>0</v>
      </c>
      <c r="B29" s="1"/>
      <c r="C29" s="1"/>
      <c r="D29" s="1"/>
      <c r="E29" s="1"/>
      <c r="F29" s="1"/>
      <c r="G29" s="1"/>
    </row>
    <row r="30" customFormat="false" ht="14.25" hidden="false" customHeight="false" outlineLevel="0" collapsed="false">
      <c r="A30" s="11" t="b">
        <f aca="false">FALSE()</f>
        <v>0</v>
      </c>
      <c r="B30" s="1" t="s">
        <v>67</v>
      </c>
      <c r="C30" s="1"/>
      <c r="D30" s="1"/>
      <c r="E30" s="1"/>
      <c r="F30" s="1"/>
      <c r="G30" s="1"/>
    </row>
    <row r="31" customFormat="false" ht="14.25" hidden="false" customHeight="false" outlineLevel="0" collapsed="false">
      <c r="A31" s="11" t="b">
        <f aca="false">FALSE()</f>
        <v>0</v>
      </c>
      <c r="B31" s="1" t="s">
        <v>68</v>
      </c>
      <c r="C31" s="1" t="n">
        <v>0</v>
      </c>
      <c r="D31" s="1"/>
      <c r="E31" s="1"/>
      <c r="F31" s="1" t="s">
        <v>69</v>
      </c>
      <c r="G31" s="1" t="s">
        <v>70</v>
      </c>
    </row>
    <row r="32" customFormat="false" ht="14.25" hidden="false" customHeight="false" outlineLevel="0" collapsed="false">
      <c r="A32" s="11" t="b">
        <f aca="false">TRUE()</f>
        <v>1</v>
      </c>
      <c r="B32" s="1" t="s">
        <v>55</v>
      </c>
      <c r="C32" s="1" t="n">
        <v>380</v>
      </c>
      <c r="D32" s="1" t="n">
        <f aca="false">350/380</f>
        <v>0.921052631578947</v>
      </c>
      <c r="E32" s="1" t="n">
        <f aca="false">C32*D32</f>
        <v>350</v>
      </c>
      <c r="F32" s="1" t="s">
        <v>56</v>
      </c>
      <c r="G32" s="1" t="s">
        <v>71</v>
      </c>
      <c r="H32" s="5" t="n">
        <v>46271</v>
      </c>
    </row>
    <row r="33" customFormat="false" ht="14.25" hidden="false" customHeight="false" outlineLevel="0" collapsed="false">
      <c r="A33" s="11" t="b">
        <f aca="false">TRUE()</f>
        <v>1</v>
      </c>
      <c r="B33" s="1" t="s">
        <v>72</v>
      </c>
      <c r="C33" s="1" t="n">
        <v>260</v>
      </c>
      <c r="D33" s="1" t="n">
        <f aca="false">290/260</f>
        <v>1.11538461538462</v>
      </c>
      <c r="E33" s="1" t="n">
        <f aca="false">C33*D33</f>
        <v>290</v>
      </c>
      <c r="F33" s="1" t="s">
        <v>73</v>
      </c>
      <c r="G33" s="1" t="s">
        <v>74</v>
      </c>
      <c r="H33" s="5" t="n">
        <v>46271</v>
      </c>
    </row>
    <row r="34" customFormat="false" ht="14.25" hidden="false" customHeight="false" outlineLevel="0" collapsed="false">
      <c r="A34" s="11" t="b">
        <f aca="false">TRUE()</f>
        <v>1</v>
      </c>
      <c r="B34" s="1" t="s">
        <v>75</v>
      </c>
      <c r="C34" s="1" t="n">
        <v>340</v>
      </c>
      <c r="D34" s="1" t="n">
        <f aca="false">440/340</f>
        <v>1.29411764705882</v>
      </c>
      <c r="E34" s="1" t="n">
        <f aca="false">C34*D34</f>
        <v>440</v>
      </c>
      <c r="F34" s="1" t="s">
        <v>76</v>
      </c>
      <c r="G34" s="1" t="s">
        <v>77</v>
      </c>
      <c r="H34" s="5" t="n">
        <v>46285</v>
      </c>
    </row>
    <row r="35" customFormat="false" ht="14.25" hidden="false" customHeight="false" outlineLevel="0" collapsed="false">
      <c r="A35" s="11" t="b">
        <f aca="false">TRUE()</f>
        <v>1</v>
      </c>
      <c r="B35" s="1" t="s">
        <v>52</v>
      </c>
      <c r="C35" s="1" t="n">
        <v>150</v>
      </c>
      <c r="D35" s="1" t="n">
        <v>1.25</v>
      </c>
      <c r="E35" s="1" t="n">
        <f aca="false">C35*D35</f>
        <v>187.5</v>
      </c>
      <c r="F35" s="1" t="s">
        <v>53</v>
      </c>
      <c r="G35" s="1" t="s">
        <v>78</v>
      </c>
      <c r="H35" s="5" t="n">
        <v>46281</v>
      </c>
    </row>
    <row r="36" customFormat="false" ht="14.25" hidden="false" customHeight="false" outlineLevel="0" collapsed="false">
      <c r="A36" s="11" t="b">
        <f aca="false">TRUE()</f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false" outlineLevel="0" collapsed="false">
      <c r="A37" s="11" t="b">
        <f aca="false">TRUE()</f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false" outlineLevel="0" collapsed="false">
      <c r="A38" s="11" t="b">
        <f aca="false">TRUE()</f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false" outlineLevel="0" collapsed="false">
      <c r="A39" s="11" t="b">
        <f aca="false">TRUE()</f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false" outlineLevel="0" collapsed="false">
      <c r="A40" s="11" t="b">
        <f aca="false">TRUE()</f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false" outlineLevel="0" collapsed="false">
      <c r="A41" s="11" t="b">
        <f aca="false">TRUE()</f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false" outlineLevel="0" collapsed="false">
      <c r="A42" s="11" t="b">
        <f aca="false">TRUE()</f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false" outlineLevel="0" collapsed="false">
      <c r="A43" s="11" t="b">
        <f aca="false">TRUE()</f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false" outlineLevel="0" collapsed="false">
      <c r="A44" s="11" t="b">
        <f aca="false">FALSE()</f>
        <v>0</v>
      </c>
      <c r="B44" s="1" t="s">
        <v>88</v>
      </c>
      <c r="C44" s="1"/>
      <c r="D44" s="1"/>
      <c r="E44" s="1"/>
      <c r="F44" s="1"/>
      <c r="G44" s="1"/>
    </row>
    <row r="45" customFormat="false" ht="14.25" hidden="false" customHeight="false" outlineLevel="0" collapsed="false">
      <c r="A45" s="11" t="b">
        <f aca="false">TRUE()</f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false" outlineLevel="0" collapsed="false">
      <c r="A46" s="11" t="b">
        <f aca="false">TRUE()</f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false" outlineLevel="0" collapsed="false">
      <c r="A47" s="11" t="b">
        <f aca="false">TRUE()</f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false" outlineLevel="0" collapsed="false">
      <c r="A48" s="11" t="b">
        <f aca="false">TRUE()</f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false" outlineLevel="0" collapsed="false">
      <c r="A49" s="11" t="b">
        <f aca="false">TRUE()</f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false" outlineLevel="0" collapsed="false">
      <c r="A50" s="11" t="b">
        <f aca="false">FALSE()</f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  <c r="H50" s="1"/>
    </row>
    <row r="51" customFormat="false" ht="14.25" hidden="false" customHeight="false" outlineLevel="0" collapsed="false">
      <c r="A51" s="11" t="b">
        <f aca="false">TRUE()</f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false" outlineLevel="0" collapsed="false">
      <c r="A52" s="11" t="b">
        <f aca="false">TRUE()</f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false" outlineLevel="0" collapsed="false">
      <c r="A53" s="11" t="b">
        <f aca="false">TRUE()</f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false" outlineLevel="0" collapsed="false">
      <c r="A54" s="1"/>
      <c r="B54" s="1" t="s">
        <v>104</v>
      </c>
      <c r="C54" s="1"/>
      <c r="D54" s="1"/>
      <c r="E54" s="1"/>
      <c r="F54" s="1"/>
      <c r="G54" s="1"/>
      <c r="H54" s="1"/>
    </row>
    <row r="55" customFormat="false" ht="14.25" hidden="false" customHeight="false" outlineLevel="0" collapsed="false">
      <c r="A55" s="11" t="b">
        <f aca="false">FALSE()</f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  <c r="H55" s="1"/>
    </row>
    <row r="56" customFormat="false" ht="14.25" hidden="false" customHeight="false" outlineLevel="0" collapsed="false">
      <c r="A56" s="1"/>
      <c r="B56" s="1" t="s">
        <v>105</v>
      </c>
      <c r="C56" s="1"/>
      <c r="D56" s="1"/>
      <c r="E56" s="1"/>
      <c r="F56" s="1"/>
      <c r="G56" s="1"/>
      <c r="H56" s="1"/>
    </row>
    <row r="57" customFormat="false" ht="14.25" hidden="false" customHeight="false" outlineLevel="0" collapsed="false">
      <c r="A57" s="11" t="b">
        <f aca="false">FALSE()</f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  <c r="H57" s="1"/>
    </row>
    <row r="58" customFormat="false" ht="14.25" hidden="false" customHeight="false" outlineLevel="0" collapsed="false">
      <c r="A58" s="1"/>
      <c r="B58" s="1" t="s">
        <v>106</v>
      </c>
      <c r="C58" s="1"/>
      <c r="D58" s="1"/>
      <c r="E58" s="1"/>
      <c r="F58" s="1"/>
      <c r="G58" s="1"/>
      <c r="H58" s="1"/>
    </row>
    <row r="59" customFormat="false" ht="14.25" hidden="false" customHeight="false" outlineLevel="0" collapsed="false">
      <c r="A59" s="11" t="b">
        <f aca="false">FALSE()</f>
        <v>0</v>
      </c>
      <c r="B59" s="1" t="s">
        <v>43</v>
      </c>
      <c r="C59" s="1" t="n">
        <v>1000</v>
      </c>
      <c r="D59" s="1" t="n">
        <v>0.9</v>
      </c>
      <c r="E59" s="1" t="n">
        <f aca="false">C59*D59</f>
        <v>900</v>
      </c>
      <c r="F59" s="1" t="s">
        <v>44</v>
      </c>
      <c r="G59" s="1"/>
      <c r="H59" s="1"/>
    </row>
    <row r="60" customFormat="false" ht="14.25" hidden="false" customHeight="false" outlineLevel="0" collapsed="false">
      <c r="B60" s="0" t="s">
        <v>107</v>
      </c>
    </row>
    <row r="61" customFormat="false" ht="14.25" hidden="false" customHeight="false" outlineLevel="0" collapsed="false">
      <c r="A61" s="2" t="b">
        <f aca="false">FALSE()</f>
        <v>0</v>
      </c>
      <c r="B61" s="0" t="s">
        <v>108</v>
      </c>
      <c r="C61" s="0" t="n">
        <v>400</v>
      </c>
      <c r="D61" s="0" t="n">
        <v>0.8</v>
      </c>
      <c r="E61" s="0" t="n">
        <f aca="false">C61*D61</f>
        <v>320</v>
      </c>
      <c r="F61" s="0" t="s">
        <v>109</v>
      </c>
      <c r="G61" s="0" t="s">
        <v>110</v>
      </c>
      <c r="H61" s="5"/>
    </row>
    <row r="62" customFormat="false" ht="14.25" hidden="false" customHeight="false" outlineLevel="0" collapsed="false">
      <c r="A62" s="1"/>
      <c r="B62" s="1" t="s">
        <v>111</v>
      </c>
      <c r="C62" s="1"/>
      <c r="D62" s="1"/>
      <c r="E62" s="1"/>
      <c r="F62" s="1"/>
      <c r="G62" s="1"/>
    </row>
    <row r="63" customFormat="false" ht="14.25" hidden="false" customHeight="false" outlineLevel="0" collapsed="false">
      <c r="A63" s="11" t="b">
        <f aca="false">TRUE()</f>
        <v>1</v>
      </c>
      <c r="B63" s="1" t="s">
        <v>95</v>
      </c>
      <c r="C63" s="1" t="n">
        <v>400</v>
      </c>
      <c r="D63" s="1" t="n">
        <v>0.6</v>
      </c>
      <c r="E63" s="1" t="n">
        <f aca="false">C63*D63</f>
        <v>240</v>
      </c>
      <c r="F63" s="1" t="s">
        <v>96</v>
      </c>
      <c r="G63" s="1" t="s">
        <v>97</v>
      </c>
      <c r="H63" s="5" t="n">
        <v>46287</v>
      </c>
    </row>
    <row r="64" customFormat="false" ht="14.25" hidden="false" customHeight="false" outlineLevel="0" collapsed="false">
      <c r="A64" s="11" t="b">
        <f aca="false">TRUE()</f>
        <v>1</v>
      </c>
      <c r="B64" s="1" t="s">
        <v>98</v>
      </c>
      <c r="C64" s="1" t="n">
        <v>300</v>
      </c>
      <c r="D64" s="1" t="n">
        <v>0.75</v>
      </c>
      <c r="E64" s="1" t="n">
        <f aca="false">C64*D64</f>
        <v>225</v>
      </c>
      <c r="F64" s="1" t="s">
        <v>99</v>
      </c>
      <c r="G64" s="1" t="s">
        <v>112</v>
      </c>
      <c r="H64" s="5" t="n">
        <v>46287</v>
      </c>
    </row>
    <row r="65" customFormat="false" ht="14.25" hidden="false" customHeight="false" outlineLevel="0" collapsed="false">
      <c r="A65" s="2" t="b">
        <f aca="false">FALSE()</f>
        <v>0</v>
      </c>
      <c r="C65" s="3" t="n">
        <f aca="false">SUM(C2:C64)</f>
        <v>29498</v>
      </c>
      <c r="D65" s="3"/>
      <c r="E65" s="12" t="n">
        <f aca="false">SUM(E2:E64)</f>
        <v>36412.5</v>
      </c>
    </row>
    <row r="66" customFormat="false" ht="14.25" hidden="false" customHeight="false" outlineLevel="0" collapsed="false">
      <c r="A66" s="2" t="b">
        <f aca="false">FALSE()</f>
        <v>0</v>
      </c>
    </row>
    <row r="67" customFormat="false" ht="14.25" hidden="false" customHeight="false" outlineLevel="0" collapsed="false">
      <c r="A67" s="2" t="b">
        <f aca="false">FALSE()</f>
        <v>0</v>
      </c>
    </row>
    <row r="68" customFormat="false" ht="14.25" hidden="false" customHeight="false" outlineLevel="0" collapsed="false">
      <c r="A68" s="2" t="b">
        <f aca="false">FALSE()</f>
        <v>0</v>
      </c>
    </row>
    <row r="69" customFormat="false" ht="14.25" hidden="false" customHeight="false" outlineLevel="0" collapsed="false">
      <c r="A69" s="2" t="b">
        <f aca="false">FALSE()</f>
        <v>0</v>
      </c>
    </row>
    <row r="70" customFormat="false" ht="14.25" hidden="false" customHeight="false" outlineLevel="0" collapsed="false">
      <c r="A70" s="2" t="b">
        <f aca="false">FALSE()</f>
        <v>0</v>
      </c>
    </row>
    <row r="71" customFormat="false" ht="14.25" hidden="false" customHeight="false" outlineLevel="0" collapsed="false">
      <c r="A71" s="2" t="b">
        <f aca="false">FALSE()</f>
        <v>0</v>
      </c>
    </row>
    <row r="72" customFormat="false" ht="14.25" hidden="false" customHeight="false" outlineLevel="0" collapsed="false">
      <c r="A72" s="2" t="b">
        <f aca="false">FALSE()</f>
        <v>0</v>
      </c>
    </row>
    <row r="73" customFormat="false" ht="14.25" hidden="false" customHeight="false" outlineLevel="0" collapsed="false">
      <c r="A73" s="2" t="b">
        <f aca="false">FALSE()</f>
        <v>0</v>
      </c>
    </row>
    <row r="74" customFormat="false" ht="14.25" hidden="false" customHeight="false" outlineLevel="0" collapsed="false">
      <c r="A74" s="2" t="b">
        <f aca="false">FALSE()</f>
        <v>0</v>
      </c>
    </row>
    <row r="75" customFormat="false" ht="14.25" hidden="false" customHeight="false" outlineLevel="0" collapsed="false">
      <c r="A75" s="2" t="b">
        <f aca="false">FALSE()</f>
        <v>0</v>
      </c>
    </row>
    <row r="76" customFormat="false" ht="14.25" hidden="false" customHeight="false" outlineLevel="0" collapsed="false">
      <c r="A76" s="2" t="b">
        <f aca="false">FALSE()</f>
        <v>0</v>
      </c>
    </row>
    <row r="77" customFormat="false" ht="14.25" hidden="false" customHeight="false" outlineLevel="0" collapsed="false">
      <c r="A77" s="2" t="b">
        <f aca="false">FALSE()</f>
        <v>0</v>
      </c>
    </row>
    <row r="78" customFormat="false" ht="14.25" hidden="false" customHeight="false" outlineLevel="0" collapsed="false">
      <c r="A78" s="2" t="b">
        <f aca="false">FALSE()</f>
        <v>0</v>
      </c>
    </row>
    <row r="79" customFormat="false" ht="14.25" hidden="false" customHeight="false" outlineLevel="0" collapsed="false">
      <c r="A79" s="2" t="b">
        <f aca="false">FALSE()</f>
        <v>0</v>
      </c>
    </row>
    <row r="80" customFormat="false" ht="14.25" hidden="false" customHeight="false" outlineLevel="0" collapsed="false">
      <c r="A80" s="2" t="b">
        <f aca="false">FALSE()</f>
        <v>0</v>
      </c>
    </row>
    <row r="81" customFormat="false" ht="14.25" hidden="false" customHeight="false" outlineLevel="0" collapsed="false">
      <c r="A81" s="2" t="b">
        <f aca="false">FALSE()</f>
        <v>0</v>
      </c>
    </row>
    <row r="82" customFormat="false" ht="14.25" hidden="false" customHeight="false" outlineLevel="0" collapsed="false">
      <c r="A82" s="2" t="b">
        <f aca="false">FALSE()</f>
        <v>0</v>
      </c>
    </row>
    <row r="83" customFormat="false" ht="14.25" hidden="false" customHeight="false" outlineLevel="0" collapsed="false">
      <c r="A83" s="2" t="b">
        <f aca="false">FALSE()</f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2026-09-30T08:03:48Z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