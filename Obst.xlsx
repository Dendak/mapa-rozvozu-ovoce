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<sst xmlns="http://schemas.openxmlformats.org/spreadsheetml/2006/main" count="163" uniqueCount="122">
  <si>
    <t xml:space="preserve">Geliefert</t>
  </si>
  <si>
    <t xml:space="preserve">Weichsel</t>
  </si>
  <si>
    <t xml:space="preserve">Geliefert am</t>
  </si>
  <si>
    <t xml:space="preserve">Rosi Huber</t>
  </si>
  <si>
    <t xml:space="preserve">Seedorf 4, 4852 Weyregg am Attersee</t>
  </si>
  <si>
    <t xml:space="preserve">Raphael Kupper</t>
  </si>
  <si>
    <t xml:space="preserve">Velden am Wörthersee</t>
  </si>
  <si>
    <t xml:space="preserve">Julia Eigner</t>
  </si>
  <si>
    <t xml:space="preserve"> Haagweg 7, 5550 Radstadt</t>
  </si>
  <si>
    <t xml:space="preserve">Manuela</t>
  </si>
  <si>
    <t xml:space="preserve">Bad Hall Eichenstraße 20</t>
  </si>
  <si>
    <t xml:space="preserve">inkl. 40 € Trinkgeld</t>
  </si>
  <si>
    <t xml:space="preserve">Johannes Eckerstorfer</t>
  </si>
  <si>
    <t xml:space="preserve">Unterirrach 6, 4632 Pichl bei Wels</t>
  </si>
  <si>
    <t xml:space="preserve">Sigi Rieger</t>
  </si>
  <si>
    <t xml:space="preserve">Forsthub 20, 5350 Abersee</t>
  </si>
  <si>
    <t xml:space="preserve">Primushäusl Edelbrände (47.7264661, 13.4350206)</t>
  </si>
  <si>
    <t xml:space="preserve">Wolfgang Dexelheimer</t>
  </si>
  <si>
    <t xml:space="preserve">Jaukenberg 31/32 4170 Haslach</t>
  </si>
  <si>
    <t xml:space="preserve">stadlbrennerei</t>
  </si>
  <si>
    <t xml:space="preserve">Kalteis Leopold</t>
  </si>
  <si>
    <t xml:space="preserve">Stroiß 6, 4730 Waizenkirchen</t>
  </si>
  <si>
    <t xml:space="preserve">Ernst Kadar</t>
  </si>
  <si>
    <t xml:space="preserve">Altaussee 29, 8992 Altaussee</t>
  </si>
  <si>
    <t xml:space="preserve">abgeholt bei Kalteis (Waizenkirchen), für nächstes Jahr</t>
  </si>
  <si>
    <t xml:space="preserve">Lukas Undesser</t>
  </si>
  <si>
    <t xml:space="preserve">Koglerauer Weg 17, 4040 Gramastetten</t>
  </si>
  <si>
    <t xml:space="preserve">inkl. 20 € Trinkgeld</t>
  </si>
  <si>
    <t xml:space="preserve">Heiner Burgstaller</t>
  </si>
  <si>
    <t xml:space="preserve">Brandhoferweg 50, 9873 Döbriach</t>
  </si>
  <si>
    <t xml:space="preserve">Christof Moser</t>
  </si>
  <si>
    <t xml:space="preserve">Mistlberg 28, 4284 Tragwein</t>
  </si>
  <si>
    <t xml:space="preserve">Steiermark Selbstabholung</t>
  </si>
  <si>
    <t xml:space="preserve">Selbstabholung, Krtely 70</t>
  </si>
  <si>
    <t xml:space="preserve">Werner</t>
  </si>
  <si>
    <t xml:space="preserve">Vöcklabruck</t>
  </si>
  <si>
    <t xml:space="preserve">Milan</t>
  </si>
  <si>
    <t xml:space="preserve">3710 Ziersdorf</t>
  </si>
  <si>
    <t xml:space="preserve">Lukas Weissenbacher</t>
  </si>
  <si>
    <t xml:space="preserve">Markt 61, 5431 Kuchl, Hotel Pension Wagnermigl</t>
  </si>
  <si>
    <t xml:space="preserve">Apimex</t>
  </si>
  <si>
    <t xml:space="preserve">Interfruit, Weinzierlstraße 2, 4400 Steyr</t>
  </si>
  <si>
    <t xml:space="preserve">geliefert 3000 kg, Rest von 3600 storniert</t>
  </si>
  <si>
    <t xml:space="preserve">Gasteiger</t>
  </si>
  <si>
    <t xml:space="preserve">Auweg 73, 4820 Bad Ischl</t>
  </si>
  <si>
    <t xml:space="preserve">1 Großkiste</t>
  </si>
  <si>
    <t xml:space="preserve">Flöckner</t>
  </si>
  <si>
    <t xml:space="preserve">Fahrenzaglstraße 4, Elixhausen</t>
  </si>
  <si>
    <t xml:space="preserve">Hageneder Roland</t>
  </si>
  <si>
    <t xml:space="preserve">4551 Ried im Traunkreis. Rührndorf 2</t>
  </si>
  <si>
    <t xml:space="preserve">Peter Fuchs</t>
  </si>
  <si>
    <t xml:space="preserve">Lämmererweg 2 5321 Koppl </t>
  </si>
  <si>
    <t xml:space="preserve">Armand, Pfarre Koppl</t>
  </si>
  <si>
    <t xml:space="preserve">Pfarramt Thalgau</t>
  </si>
  <si>
    <t xml:space="preserve">(47.8450105, 13.2584452) Übergabe in Koppl bei Peter Fuchs</t>
  </si>
  <si>
    <t xml:space="preserve">Herz Jesu</t>
  </si>
  <si>
    <t xml:space="preserve">Schönleitenstraße 1, 5020 Salzburg</t>
  </si>
  <si>
    <t xml:space="preserve">pauschal 400 €</t>
  </si>
  <si>
    <t xml:space="preserve">Werner Mitteregger</t>
  </si>
  <si>
    <t xml:space="preserve">Zellerstraße 15, 5751 Atzing</t>
  </si>
  <si>
    <t xml:space="preserve">telefonisch bestellt</t>
  </si>
  <si>
    <t xml:space="preserve">Christoph Ölsinger</t>
  </si>
  <si>
    <t xml:space="preserve">Guntendorf 10, 4550 Kremsmünster</t>
  </si>
  <si>
    <t xml:space="preserve">Hedegg Destillerie</t>
  </si>
  <si>
    <t xml:space="preserve">Hedegg 35, 5600 St. Johann im Pongau</t>
  </si>
  <si>
    <t xml:space="preserve">Briendl Michael</t>
  </si>
  <si>
    <t xml:space="preserve">Oberautal 12, 4642 Sattledt</t>
  </si>
  <si>
    <t xml:space="preserve">Zwetschken</t>
  </si>
  <si>
    <t xml:space="preserve">Endesgrabner Johann, Gasthof Troadkastn</t>
  </si>
  <si>
    <t xml:space="preserve">Rabenschwand 48, 4894 Oberhofen am Irrsee</t>
  </si>
  <si>
    <t xml:space="preserve">STORNIERT 2026 (OP) – ursprünglich 600 kg à 1,30 – meldet sich 2027 wieder, Tel. +43 664 4233933</t>
  </si>
  <si>
    <t xml:space="preserve">pauschal 350 €</t>
  </si>
  <si>
    <t xml:space="preserve">Daniel Steiner</t>
  </si>
  <si>
    <t xml:space="preserve">Markt 30, 5431 Kuchl</t>
  </si>
  <si>
    <t xml:space="preserve">pauschal 290 €</t>
  </si>
  <si>
    <t xml:space="preserve">Johann Lackner</t>
  </si>
  <si>
    <t xml:space="preserve">Gröbendorf 114, 5571 Mariapfarr</t>
  </si>
  <si>
    <t xml:space="preserve">Abholung in Salzburg oder Radstadt möglich – pauschal 440 €</t>
  </si>
  <si>
    <t xml:space="preserve">(47.8450105, 13.2584452)</t>
  </si>
  <si>
    <t xml:space="preserve">Rainer</t>
  </si>
  <si>
    <t xml:space="preserve">Erdmannsdorf 17, 4293 Gutau</t>
  </si>
  <si>
    <t xml:space="preserve">Sorte Elena</t>
  </si>
  <si>
    <t xml:space="preserve">Thomas Waldhör</t>
  </si>
  <si>
    <t xml:space="preserve">Roith 37, 4849 Puchkirchen</t>
  </si>
  <si>
    <t xml:space="preserve">ca. 400 kg, Zustellung evtl. am Wochenende, Tel. 0664/4412155</t>
  </si>
  <si>
    <t xml:space="preserve">(47.6422225, 13.7605517) Zustellung nach Hause erst ab Di 8.9.2026, Wunsch: Einwegkisten (nicht umfüllen)</t>
  </si>
  <si>
    <t xml:space="preserve">Friedl</t>
  </si>
  <si>
    <t xml:space="preserve">Pfarrhof 11, 4092 Esternberg</t>
  </si>
  <si>
    <t xml:space="preserve">Birnen Williams</t>
  </si>
  <si>
    <t xml:space="preserve">Haagweg 7, 5550 Radstadt</t>
  </si>
  <si>
    <t xml:space="preserve">2 Paletten, 1000 kg, 1100 €</t>
  </si>
  <si>
    <t xml:space="preserve">Christian Schlick</t>
  </si>
  <si>
    <t xml:space="preserve">Lamm 82, 5584 Zederhaus</t>
  </si>
  <si>
    <t xml:space="preserve">Abholung in Salzburg oder Radstadt möglich – pauschal 700 €</t>
  </si>
  <si>
    <t xml:space="preserve">(47.6422225, 13.7605517)</t>
  </si>
  <si>
    <t xml:space="preserve">Gerhard Bayer</t>
  </si>
  <si>
    <t xml:space="preserve">Dorf 14, 5603 Kleinarl</t>
  </si>
  <si>
    <t xml:space="preserve">Abholung in Salzburg möglich</t>
  </si>
  <si>
    <t xml:space="preserve">Ferdinand Huber</t>
  </si>
  <si>
    <t xml:space="preserve">Kreuzsalgasse 4, 5603 Kleinarl</t>
  </si>
  <si>
    <t xml:space="preserve">(47.2765915, 13.3198029) – inkl. 25 € Trinkgeld</t>
  </si>
  <si>
    <t xml:space="preserve">Lukas Oblasser</t>
  </si>
  <si>
    <t xml:space="preserve">Marktparkplatz, 5602 Wagrain</t>
  </si>
  <si>
    <t xml:space="preserve">(47.333582, 13.295091) Abholung am Marktparkplatz Wagrain – Kunde kommt aus Osttirol</t>
  </si>
  <si>
    <t xml:space="preserve">Birnen Packham</t>
  </si>
  <si>
    <t xml:space="preserve">Urlaub 26.10.–30.10. – Lieferung erst danach (ab 31.10.)</t>
  </si>
  <si>
    <t xml:space="preserve">Martin Neuwirth</t>
  </si>
  <si>
    <t xml:space="preserve">Spittal an der Drau</t>
  </si>
  <si>
    <t xml:space="preserve">Abholung in Spittal an der Drau – Kunde aus 9634 Gundersheim – für Saft und Most – 1 €/kg bei Abholung angeboten, Zusage offen</t>
  </si>
  <si>
    <t xml:space="preserve">Birnen Alexander Lucas</t>
  </si>
  <si>
    <t xml:space="preserve">Birnen Konference</t>
  </si>
  <si>
    <t xml:space="preserve">Martin Steinbichler</t>
  </si>
  <si>
    <t xml:space="preserve">Kuglau 93, 3361 Biberbach</t>
  </si>
  <si>
    <t xml:space="preserve">Franz Huber</t>
  </si>
  <si>
    <t xml:space="preserve">Emming 4a, 4892 Fornach</t>
  </si>
  <si>
    <t xml:space="preserve">Huber's Edelbrände, Tel. +43 677/62392405</t>
  </si>
  <si>
    <t xml:space="preserve">Birnen</t>
  </si>
  <si>
    <t xml:space="preserve">L K (landwirt.com)</t>
  </si>
  <si>
    <t xml:space="preserve">5591 Ramingstein</t>
  </si>
  <si>
    <t xml:space="preserve">Anfrage über landwirt.com – beliebige Birnensorte</t>
  </si>
  <si>
    <t xml:space="preserve">Äpfel</t>
  </si>
  <si>
    <t xml:space="preserve">(47.2765915, 13.3198029)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</si>
</sst>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&quot; kg&quot;"/>
    <numFmt numFmtId="167" formatCode="_-&quot;€ &quot;* #,##0.00_-;&quot;-€ &quot;* #,##0.00_-;_-&quot;€ &quot;* \-??_-;_-@_-"/>
    <numFmt numFmtId="168" formatCode="dd\.mm\.yyyy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474747"/>
      <name val="Arial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theme="1"/>
      <name val="Calibri"/>
      <family val="2"/>
      <charset val="1"/>
    </font>
    <font>
      <sz val="9"/>
      <color rgb="FF14004C"/>
      <name val="Arial"/>
      <family val="2"/>
      <charset val="1"/>
    </font>
    <font>
      <sz val="7"/>
      <color rgb="FF474747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14004C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74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place/data=!4m2!3m1!1s0x47747715538db01d:0x16d28a73419a5295?sa=X&amp;ved=1t:8290&amp;ictx=111" TargetMode="External"/><Relationship Id="rId2" Type="http://schemas.openxmlformats.org/officeDocument/2006/relationships/hyperlink" Target="https://www.google.com/maps/place/data=!4m2!3m1!1s0x4773af04442266fd:0x116ce1c69494bb32?sa=X&amp;ved=1t:8290&amp;ictx=11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0.73046875" defaultRowHeight="14.25" zeroHeight="false" outlineLevelRow="0" outlineLevelCol="0"/>
  <cols>
    <col collapsed="false" customWidth="true" hidden="false" outlineLevel="0" max="2" min="2" style="1" width="19"/>
    <col collapsed="false" customWidth="true" hidden="false" outlineLevel="0" max="3" min="3" style="1" width="23.27"/>
    <col collapsed="false" customWidth="true" hidden="false" outlineLevel="0" max="4" min="4" style="1" width="8.37"/>
    <col collapsed="false" customWidth="true" hidden="false" outlineLevel="0" max="5" min="5" style="1" width="12"/>
    <col collapsed="false" customWidth="true" hidden="false" outlineLevel="0" max="6" min="6" style="1" width="31.45"/>
    <col collapsed="false" customWidth="true" hidden="false" outlineLevel="0" max="8" min="8" style="1" width="13"/>
  </cols>
  <sheetData>
    <row r="1" customFormat="false" ht="14.25" hidden="false" customHeight="true" outlineLevel="0" collapsed="false">
      <c r="A1" s="1" t="s">
        <v>0</v>
      </c>
      <c r="B1" s="1" t="s">
        <v>1</v>
      </c>
      <c r="H1" s="1" t="s">
        <v>2</v>
      </c>
    </row>
    <row r="2" customFormat="false" ht="14.25" hidden="false" customHeight="true" outlineLevel="0" collapsed="false">
      <c r="A2" s="2" t="b">
        <v>1</v>
      </c>
      <c r="B2" s="2" t="s">
        <v>3</v>
      </c>
      <c r="C2" s="3" t="n">
        <v>600</v>
      </c>
      <c r="D2" s="4" t="n">
        <v>1.5</v>
      </c>
      <c r="E2" s="4" t="n">
        <f aca="false">C2*D2</f>
        <v>900</v>
      </c>
      <c r="F2" s="2" t="s">
        <v>4</v>
      </c>
      <c r="G2" s="2"/>
      <c r="H2" s="5" t="n">
        <v>46229</v>
      </c>
    </row>
    <row r="3" customFormat="false" ht="14.25" hidden="false" customHeight="true" outlineLevel="0" collapsed="false">
      <c r="A3" s="2" t="b">
        <v>1</v>
      </c>
      <c r="B3" s="2" t="s">
        <v>5</v>
      </c>
      <c r="C3" s="3" t="n">
        <v>410</v>
      </c>
      <c r="D3" s="4" t="n">
        <v>1.5</v>
      </c>
      <c r="E3" s="4" t="n">
        <v>600</v>
      </c>
      <c r="F3" s="2" t="s">
        <v>6</v>
      </c>
      <c r="G3" s="2"/>
      <c r="H3" s="5" t="n">
        <v>46233</v>
      </c>
    </row>
    <row r="4" customFormat="false" ht="14.25" hidden="false" customHeight="true" outlineLevel="0" collapsed="false">
      <c r="A4" s="2" t="b">
        <v>1</v>
      </c>
      <c r="B4" s="2" t="s">
        <v>7</v>
      </c>
      <c r="C4" s="3" t="n">
        <v>1000</v>
      </c>
      <c r="D4" s="4" t="n">
        <v>1.5</v>
      </c>
      <c r="E4" s="4" t="n">
        <f aca="false">C4*D4</f>
        <v>1500</v>
      </c>
      <c r="F4" s="2" t="s">
        <v>8</v>
      </c>
      <c r="G4" s="2"/>
      <c r="H4" s="5" t="n">
        <v>46233</v>
      </c>
    </row>
    <row r="5" customFormat="false" ht="14.25" hidden="false" customHeight="true" outlineLevel="0" collapsed="false">
      <c r="A5" s="2" t="b">
        <v>1</v>
      </c>
      <c r="B5" s="2" t="s">
        <v>9</v>
      </c>
      <c r="C5" s="3" t="n">
        <v>200</v>
      </c>
      <c r="D5" s="4" t="n">
        <v>1.5</v>
      </c>
      <c r="E5" s="4" t="n">
        <v>340</v>
      </c>
      <c r="F5" s="2" t="s">
        <v>10</v>
      </c>
      <c r="G5" s="2" t="s">
        <v>11</v>
      </c>
      <c r="H5" s="5" t="n">
        <v>46229</v>
      </c>
    </row>
    <row r="6" customFormat="false" ht="14.25" hidden="false" customHeight="true" outlineLevel="0" collapsed="false">
      <c r="A6" s="2" t="b">
        <v>1</v>
      </c>
      <c r="B6" s="2" t="s">
        <v>12</v>
      </c>
      <c r="C6" s="3" t="n">
        <v>350</v>
      </c>
      <c r="D6" s="4" t="n">
        <v>1.5</v>
      </c>
      <c r="E6" s="4" t="n">
        <f aca="false">C6*D6</f>
        <v>525</v>
      </c>
      <c r="F6" s="2" t="s">
        <v>13</v>
      </c>
      <c r="G6" s="2"/>
      <c r="H6" s="5" t="n">
        <v>46231</v>
      </c>
    </row>
    <row r="7" customFormat="false" ht="14.25" hidden="false" customHeight="true" outlineLevel="0" collapsed="false">
      <c r="A7" s="2" t="b">
        <v>1</v>
      </c>
      <c r="B7" s="2" t="s">
        <v>14</v>
      </c>
      <c r="C7" s="3" t="n">
        <v>1000</v>
      </c>
      <c r="D7" s="4" t="n">
        <v>1.5</v>
      </c>
      <c r="E7" s="4" t="n">
        <f aca="false">C7*D7</f>
        <v>1500</v>
      </c>
      <c r="F7" s="2" t="s">
        <v>15</v>
      </c>
      <c r="G7" s="2" t="s">
        <v>16</v>
      </c>
      <c r="H7" s="5" t="n">
        <v>46231</v>
      </c>
    </row>
    <row r="8" customFormat="false" ht="14.25" hidden="false" customHeight="true" outlineLevel="0" collapsed="false">
      <c r="A8" s="2" t="b">
        <v>1</v>
      </c>
      <c r="B8" s="2" t="s">
        <v>17</v>
      </c>
      <c r="C8" s="3" t="n">
        <v>300</v>
      </c>
      <c r="D8" s="4" t="n">
        <v>1.5</v>
      </c>
      <c r="E8" s="4" t="n">
        <f aca="false">C8*D8</f>
        <v>450</v>
      </c>
      <c r="F8" s="6" t="s">
        <v>18</v>
      </c>
      <c r="G8" s="2" t="s">
        <v>19</v>
      </c>
      <c r="H8" s="5" t="n">
        <v>46238</v>
      </c>
    </row>
    <row r="9" customFormat="false" ht="14.25" hidden="false" customHeight="true" outlineLevel="0" collapsed="false">
      <c r="A9" s="2" t="b">
        <v>1</v>
      </c>
      <c r="B9" s="2" t="s">
        <v>20</v>
      </c>
      <c r="C9" s="3" t="n">
        <v>400</v>
      </c>
      <c r="D9" s="4" t="n">
        <v>1.5</v>
      </c>
      <c r="E9" s="4" t="n">
        <f aca="false">C9*D9</f>
        <v>600</v>
      </c>
      <c r="F9" s="7" t="s">
        <v>21</v>
      </c>
      <c r="G9" s="2"/>
      <c r="H9" s="5" t="n">
        <v>46229</v>
      </c>
    </row>
    <row r="10" customFormat="false" ht="14.25" hidden="false" customHeight="true" outlineLevel="0" collapsed="false">
      <c r="A10" s="2" t="b">
        <v>1</v>
      </c>
      <c r="B10" s="2" t="s">
        <v>22</v>
      </c>
      <c r="C10" s="3" t="n">
        <v>200</v>
      </c>
      <c r="D10" s="4" t="n">
        <v>1.5</v>
      </c>
      <c r="E10" s="4" t="n">
        <f aca="false">C10*D10</f>
        <v>300</v>
      </c>
      <c r="F10" s="7" t="s">
        <v>23</v>
      </c>
      <c r="G10" s="2" t="s">
        <v>24</v>
      </c>
      <c r="H10" s="5" t="n">
        <v>46231</v>
      </c>
    </row>
    <row r="11" customFormat="false" ht="14.25" hidden="false" customHeight="true" outlineLevel="0" collapsed="false">
      <c r="A11" s="2" t="b">
        <v>1</v>
      </c>
      <c r="B11" s="2" t="s">
        <v>25</v>
      </c>
      <c r="C11" s="3" t="n">
        <v>100</v>
      </c>
      <c r="D11" s="4" t="n">
        <v>1.5</v>
      </c>
      <c r="E11" s="4" t="n">
        <v>170</v>
      </c>
      <c r="F11" s="2" t="s">
        <v>26</v>
      </c>
      <c r="G11" s="2" t="s">
        <v>27</v>
      </c>
      <c r="H11" s="5" t="n">
        <v>46229</v>
      </c>
    </row>
    <row r="12" customFormat="false" ht="14.25" hidden="false" customHeight="true" outlineLevel="0" collapsed="false">
      <c r="A12" s="2" t="b">
        <v>1</v>
      </c>
      <c r="B12" s="2" t="s">
        <v>28</v>
      </c>
      <c r="C12" s="3" t="n">
        <v>640</v>
      </c>
      <c r="D12" s="4" t="n">
        <v>1.5</v>
      </c>
      <c r="E12" s="4" t="n">
        <f aca="false">C12*D12</f>
        <v>960</v>
      </c>
      <c r="F12" s="2" t="s">
        <v>29</v>
      </c>
      <c r="G12" s="2"/>
      <c r="H12" s="5" t="n">
        <v>46233</v>
      </c>
    </row>
    <row r="13" customFormat="false" ht="14.25" hidden="false" customHeight="true" outlineLevel="0" collapsed="false">
      <c r="A13" s="2" t="b">
        <v>1</v>
      </c>
      <c r="B13" s="2" t="s">
        <v>30</v>
      </c>
      <c r="C13" s="3" t="n">
        <v>900</v>
      </c>
      <c r="D13" s="4" t="n">
        <v>1.25</v>
      </c>
      <c r="E13" s="4" t="n">
        <f aca="false">C13*D13</f>
        <v>1125</v>
      </c>
      <c r="F13" s="7" t="s">
        <v>31</v>
      </c>
      <c r="G13" s="2"/>
      <c r="H13" s="5" t="n">
        <v>46229</v>
      </c>
    </row>
    <row r="14" customFormat="false" ht="14.25" hidden="false" customHeight="true" outlineLevel="0" collapsed="false">
      <c r="A14" s="2" t="b">
        <v>1</v>
      </c>
      <c r="B14" s="2" t="s">
        <v>32</v>
      </c>
      <c r="C14" s="3" t="n">
        <v>1000</v>
      </c>
      <c r="D14" s="4" t="n">
        <v>1</v>
      </c>
      <c r="E14" s="4" t="n">
        <f aca="false">C14*D14</f>
        <v>1000</v>
      </c>
      <c r="F14" s="2" t="s">
        <v>33</v>
      </c>
      <c r="G14" s="2"/>
      <c r="H14" s="5" t="n">
        <v>46229</v>
      </c>
    </row>
    <row r="15" customFormat="false" ht="14.25" hidden="false" customHeight="true" outlineLevel="0" collapsed="false">
      <c r="A15" s="2" t="b">
        <v>1</v>
      </c>
      <c r="B15" s="2" t="s">
        <v>34</v>
      </c>
      <c r="C15" s="3" t="n">
        <v>60</v>
      </c>
      <c r="D15" s="4" t="n">
        <v>1.5</v>
      </c>
      <c r="E15" s="4" t="n">
        <f aca="false">C15*D15</f>
        <v>90</v>
      </c>
      <c r="F15" s="2" t="s">
        <v>35</v>
      </c>
      <c r="G15" s="2"/>
      <c r="H15" s="5" t="n">
        <v>46233</v>
      </c>
    </row>
    <row r="16" customFormat="false" ht="14.25" hidden="false" customHeight="true" outlineLevel="0" collapsed="false">
      <c r="A16" s="2" t="b">
        <v>1</v>
      </c>
      <c r="B16" s="2" t="s">
        <v>36</v>
      </c>
      <c r="C16" s="3" t="n">
        <v>150</v>
      </c>
      <c r="D16" s="4" t="n">
        <v>1.5</v>
      </c>
      <c r="E16" s="4" t="n">
        <f aca="false">C16*D16</f>
        <v>225</v>
      </c>
      <c r="F16" s="2" t="s">
        <v>33</v>
      </c>
      <c r="G16" s="2" t="s">
        <v>37</v>
      </c>
      <c r="H16" s="5" t="n">
        <v>46221</v>
      </c>
    </row>
    <row r="17" customFormat="false" ht="14.25" hidden="false" customHeight="true" outlineLevel="0" collapsed="false">
      <c r="A17" s="2" t="b">
        <v>1</v>
      </c>
      <c r="B17" s="2" t="s">
        <v>38</v>
      </c>
      <c r="C17" s="3" t="n">
        <v>600</v>
      </c>
      <c r="D17" s="4" t="n">
        <v>1.4</v>
      </c>
      <c r="E17" s="4" t="n">
        <f aca="false">C17*D17</f>
        <v>840</v>
      </c>
      <c r="F17" s="2" t="s">
        <v>39</v>
      </c>
      <c r="G17" s="2"/>
      <c r="H17" s="5" t="n">
        <v>46231</v>
      </c>
    </row>
    <row r="18" customFormat="false" ht="14.25" hidden="false" customHeight="true" outlineLevel="0" collapsed="false">
      <c r="A18" s="2" t="b">
        <v>1</v>
      </c>
      <c r="B18" s="2" t="s">
        <v>40</v>
      </c>
      <c r="C18" s="3" t="n">
        <v>3000</v>
      </c>
      <c r="D18" s="4" t="n">
        <v>1.3</v>
      </c>
      <c r="E18" s="4" t="n">
        <f aca="false">C18*D18</f>
        <v>3900</v>
      </c>
      <c r="F18" s="8" t="s">
        <v>41</v>
      </c>
      <c r="G18" s="2" t="s">
        <v>42</v>
      </c>
      <c r="H18" s="5" t="n">
        <v>46231</v>
      </c>
    </row>
    <row r="19" customFormat="false" ht="14.25" hidden="false" customHeight="true" outlineLevel="0" collapsed="false">
      <c r="A19" s="2" t="b">
        <v>1</v>
      </c>
      <c r="B19" s="2" t="s">
        <v>43</v>
      </c>
      <c r="C19" s="3" t="n">
        <v>500</v>
      </c>
      <c r="D19" s="4" t="n">
        <v>1.5</v>
      </c>
      <c r="E19" s="4" t="n">
        <f aca="false">C19*D19</f>
        <v>750</v>
      </c>
      <c r="F19" s="2" t="s">
        <v>44</v>
      </c>
      <c r="G19" s="2" t="s">
        <v>45</v>
      </c>
      <c r="H19" s="5" t="n">
        <v>46231</v>
      </c>
    </row>
    <row r="20" customFormat="false" ht="14.25" hidden="false" customHeight="true" outlineLevel="0" collapsed="false">
      <c r="A20" s="2" t="b">
        <v>1</v>
      </c>
      <c r="B20" s="2" t="s">
        <v>46</v>
      </c>
      <c r="C20" s="3" t="n">
        <v>200</v>
      </c>
      <c r="D20" s="4" t="n">
        <v>1.5</v>
      </c>
      <c r="E20" s="4" t="n">
        <f aca="false">C20*D20</f>
        <v>300</v>
      </c>
      <c r="F20" s="9" t="s">
        <v>47</v>
      </c>
      <c r="G20" s="2"/>
      <c r="H20" s="5" t="n">
        <v>46222</v>
      </c>
    </row>
    <row r="21" customFormat="false" ht="14.25" hidden="false" customHeight="true" outlineLevel="0" collapsed="false">
      <c r="A21" s="2" t="b">
        <v>1</v>
      </c>
      <c r="B21" s="2" t="s">
        <v>48</v>
      </c>
      <c r="C21" s="3" t="n">
        <v>200</v>
      </c>
      <c r="D21" s="4" t="n">
        <v>1.5</v>
      </c>
      <c r="E21" s="4" t="n">
        <f aca="false">C21*D21</f>
        <v>300</v>
      </c>
      <c r="F21" s="6" t="s">
        <v>49</v>
      </c>
      <c r="G21" s="2"/>
      <c r="H21" s="5" t="n">
        <v>46229</v>
      </c>
    </row>
    <row r="22" customFormat="false" ht="14.25" hidden="false" customHeight="true" outlineLevel="0" collapsed="false">
      <c r="A22" s="2" t="b">
        <v>1</v>
      </c>
      <c r="B22" s="2" t="s">
        <v>50</v>
      </c>
      <c r="C22" s="3" t="n">
        <v>540</v>
      </c>
      <c r="D22" s="4" t="n">
        <v>1.5</v>
      </c>
      <c r="E22" s="4" t="n">
        <f aca="false">C22*D22</f>
        <v>810</v>
      </c>
      <c r="F22" s="6" t="s">
        <v>51</v>
      </c>
      <c r="G22" s="2"/>
      <c r="H22" s="5" t="n">
        <v>46222</v>
      </c>
    </row>
    <row r="23" customFormat="false" ht="14.25" hidden="false" customHeight="true" outlineLevel="0" collapsed="false">
      <c r="A23" s="2" t="b">
        <v>1</v>
      </c>
      <c r="B23" s="2" t="s">
        <v>52</v>
      </c>
      <c r="C23" s="3" t="n">
        <v>100</v>
      </c>
      <c r="D23" s="4" t="n">
        <v>1.5</v>
      </c>
      <c r="E23" s="4" t="n">
        <f aca="false">C23*D23</f>
        <v>150</v>
      </c>
      <c r="F23" s="10" t="s">
        <v>53</v>
      </c>
      <c r="G23" s="2" t="s">
        <v>54</v>
      </c>
      <c r="H23" s="5" t="n">
        <v>46222</v>
      </c>
    </row>
    <row r="24" customFormat="false" ht="14.25" hidden="false" customHeight="true" outlineLevel="0" collapsed="false">
      <c r="A24" s="2" t="b">
        <v>1</v>
      </c>
      <c r="B24" s="2" t="s">
        <v>55</v>
      </c>
      <c r="C24" s="3" t="n">
        <v>360</v>
      </c>
      <c r="D24" s="4" t="n">
        <f aca="false">400/360</f>
        <v>1.11111111111111</v>
      </c>
      <c r="E24" s="4" t="n">
        <f aca="false">C24*D24</f>
        <v>400</v>
      </c>
      <c r="F24" s="10" t="s">
        <v>56</v>
      </c>
      <c r="G24" s="2" t="s">
        <v>57</v>
      </c>
      <c r="H24" s="5" t="n">
        <v>46222</v>
      </c>
    </row>
    <row r="25" customFormat="false" ht="14.25" hidden="false" customHeight="true" outlineLevel="0" collapsed="false">
      <c r="A25" s="2" t="b">
        <v>1</v>
      </c>
      <c r="B25" s="2" t="s">
        <v>58</v>
      </c>
      <c r="C25" s="2" t="n">
        <v>950</v>
      </c>
      <c r="D25" s="2" t="n">
        <v>1.5</v>
      </c>
      <c r="E25" s="2" t="n">
        <f aca="false">C25*D25</f>
        <v>1425</v>
      </c>
      <c r="F25" s="2" t="s">
        <v>59</v>
      </c>
      <c r="G25" s="2" t="s">
        <v>60</v>
      </c>
      <c r="H25" s="5" t="n">
        <v>46233</v>
      </c>
    </row>
    <row r="26" customFormat="false" ht="14.25" hidden="false" customHeight="true" outlineLevel="0" collapsed="false">
      <c r="A26" s="2" t="b">
        <v>1</v>
      </c>
      <c r="B26" s="2" t="s">
        <v>61</v>
      </c>
      <c r="C26" s="2" t="n">
        <v>300</v>
      </c>
      <c r="D26" s="2" t="n">
        <v>1.5</v>
      </c>
      <c r="E26" s="2" t="n">
        <f aca="false">C26*D26</f>
        <v>450</v>
      </c>
      <c r="F26" s="2" t="s">
        <v>62</v>
      </c>
      <c r="G26" s="2"/>
      <c r="H26" s="5" t="n">
        <v>46231</v>
      </c>
    </row>
    <row r="27" customFormat="false" ht="14.25" hidden="false" customHeight="true" outlineLevel="0" collapsed="false">
      <c r="A27" s="2" t="b">
        <v>1</v>
      </c>
      <c r="B27" s="2" t="s">
        <v>63</v>
      </c>
      <c r="C27" s="2" t="n">
        <v>1000</v>
      </c>
      <c r="D27" s="2" t="n">
        <v>1.5</v>
      </c>
      <c r="E27" s="2" t="n">
        <f aca="false">C27*D27</f>
        <v>1500</v>
      </c>
      <c r="F27" s="2" t="s">
        <v>64</v>
      </c>
      <c r="G27" s="2"/>
      <c r="H27" s="5" t="n">
        <v>46238</v>
      </c>
    </row>
    <row r="28" customFormat="false" ht="14.25" hidden="false" customHeight="true" outlineLevel="0" collapsed="false">
      <c r="A28" s="2" t="b">
        <v>1</v>
      </c>
      <c r="B28" s="2" t="s">
        <v>65</v>
      </c>
      <c r="C28" s="2" t="n">
        <v>300</v>
      </c>
      <c r="D28" s="2" t="n">
        <v>1.5</v>
      </c>
      <c r="E28" s="2" t="n">
        <f aca="false">C28*D28</f>
        <v>450</v>
      </c>
      <c r="F28" s="2" t="s">
        <v>66</v>
      </c>
      <c r="G28" s="2"/>
      <c r="H28" s="5" t="n">
        <v>46238</v>
      </c>
    </row>
    <row r="29" customFormat="false" ht="14.25" hidden="false" customHeight="true" outlineLevel="0" collapsed="false">
      <c r="A29" s="2" t="b">
        <v>0</v>
      </c>
      <c r="B29" s="2"/>
      <c r="C29" s="2"/>
      <c r="D29" s="2"/>
      <c r="E29" s="2"/>
      <c r="F29" s="2"/>
      <c r="G29" s="2"/>
    </row>
    <row r="30" customFormat="false" ht="14.25" hidden="false" customHeight="true" outlineLevel="0" collapsed="false">
      <c r="A30" s="2" t="b">
        <v>0</v>
      </c>
      <c r="B30" s="2" t="s">
        <v>67</v>
      </c>
      <c r="C30" s="2"/>
      <c r="D30" s="2"/>
      <c r="E30" s="2"/>
      <c r="F30" s="2"/>
      <c r="G30" s="2"/>
    </row>
    <row r="31" customFormat="false" ht="14.25" hidden="false" customHeight="true" outlineLevel="0" collapsed="false">
      <c r="A31" s="2" t="b">
        <v>0</v>
      </c>
      <c r="B31" s="2" t="s">
        <v>68</v>
      </c>
      <c r="C31" s="2" t="n">
        <v>0</v>
      </c>
      <c r="D31" s="2"/>
      <c r="E31" s="2"/>
      <c r="F31" s="2" t="s">
        <v>69</v>
      </c>
      <c r="G31" s="2" t="s">
        <v>70</v>
      </c>
    </row>
    <row r="32" customFormat="false" ht="14.25" hidden="false" customHeight="true" outlineLevel="0" collapsed="false">
      <c r="A32" s="2" t="b">
        <v>1</v>
      </c>
      <c r="B32" s="2" t="s">
        <v>55</v>
      </c>
      <c r="C32" s="2" t="n">
        <v>380</v>
      </c>
      <c r="D32" s="2" t="n">
        <f aca="false">350/380</f>
        <v>0.921052631578947</v>
      </c>
      <c r="E32" s="2" t="n">
        <f aca="false">C32*D32</f>
        <v>350</v>
      </c>
      <c r="F32" s="2" t="s">
        <v>56</v>
      </c>
      <c r="G32" s="2" t="s">
        <v>71</v>
      </c>
      <c r="H32" s="5" t="n">
        <v>46271</v>
      </c>
    </row>
    <row r="33" customFormat="false" ht="14.25" hidden="false" customHeight="true" outlineLevel="0" collapsed="false">
      <c r="A33" s="2" t="b">
        <v>1</v>
      </c>
      <c r="B33" s="2" t="s">
        <v>72</v>
      </c>
      <c r="C33" s="2" t="n">
        <v>260</v>
      </c>
      <c r="D33" s="2" t="n">
        <f aca="false">290/260</f>
        <v>1.11538461538462</v>
      </c>
      <c r="E33" s="2" t="n">
        <f aca="false">C33*D33</f>
        <v>290</v>
      </c>
      <c r="F33" s="2" t="s">
        <v>73</v>
      </c>
      <c r="G33" s="2" t="s">
        <v>74</v>
      </c>
      <c r="H33" s="5" t="n">
        <v>46271</v>
      </c>
    </row>
    <row r="34" customFormat="false" ht="14.25" hidden="false" customHeight="true" outlineLevel="0" collapsed="false">
      <c r="A34" s="2" t="b">
        <v>1</v>
      </c>
      <c r="B34" s="2" t="s">
        <v>75</v>
      </c>
      <c r="C34" s="2" t="n">
        <v>340</v>
      </c>
      <c r="D34" s="2" t="n">
        <f aca="false">440/340</f>
        <v>1.29411764705882</v>
      </c>
      <c r="E34" s="2" t="n">
        <f aca="false">C34*D34</f>
        <v>440</v>
      </c>
      <c r="F34" s="2" t="s">
        <v>76</v>
      </c>
      <c r="G34" s="2" t="s">
        <v>77</v>
      </c>
      <c r="H34" s="5" t="n">
        <v>46285</v>
      </c>
    </row>
    <row r="35" customFormat="false" ht="14.25" hidden="false" customHeight="true" outlineLevel="0" collapsed="false">
      <c r="A35" s="2" t="b">
        <v>1</v>
      </c>
      <c r="B35" s="2" t="s">
        <v>52</v>
      </c>
      <c r="C35" s="2" t="n">
        <v>150</v>
      </c>
      <c r="D35" s="2" t="n">
        <v>1.25</v>
      </c>
      <c r="E35" s="2" t="n">
        <f aca="false">C35*D35</f>
        <v>187.5</v>
      </c>
      <c r="F35" s="2" t="s">
        <v>53</v>
      </c>
      <c r="G35" s="2" t="s">
        <v>78</v>
      </c>
      <c r="H35" s="5" t="n">
        <v>46281</v>
      </c>
    </row>
    <row r="36" customFormat="false" ht="14.25" hidden="false" customHeight="true" outlineLevel="0" collapsed="false">
      <c r="A36" s="11" t="b">
        <v>1</v>
      </c>
      <c r="B36" s="1" t="s">
        <v>46</v>
      </c>
      <c r="C36" s="1" t="n">
        <v>200</v>
      </c>
      <c r="D36" s="1" t="n">
        <v>1.1</v>
      </c>
      <c r="E36" s="1" t="n">
        <f aca="false">C36*D36</f>
        <v>220</v>
      </c>
      <c r="F36" s="1" t="s">
        <v>47</v>
      </c>
      <c r="G36" s="1"/>
      <c r="H36" s="5" t="n">
        <v>46264</v>
      </c>
    </row>
    <row r="37" customFormat="false" ht="14.25" hidden="false" customHeight="true" outlineLevel="0" collapsed="false">
      <c r="A37" s="11" t="b">
        <v>1</v>
      </c>
      <c r="B37" s="1" t="s">
        <v>3</v>
      </c>
      <c r="C37" s="1" t="n">
        <v>600</v>
      </c>
      <c r="D37" s="1" t="n">
        <v>1.1</v>
      </c>
      <c r="E37" s="1" t="n">
        <f aca="false">C37*D37</f>
        <v>660</v>
      </c>
      <c r="F37" s="1" t="s">
        <v>4</v>
      </c>
      <c r="G37" s="1"/>
      <c r="H37" s="5" t="n">
        <v>46264</v>
      </c>
    </row>
    <row r="38" customFormat="false" ht="14.25" hidden="false" customHeight="true" outlineLevel="0" collapsed="false">
      <c r="A38" s="11" t="b">
        <v>1</v>
      </c>
      <c r="B38" s="1" t="s">
        <v>43</v>
      </c>
      <c r="C38" s="1" t="n">
        <v>600</v>
      </c>
      <c r="D38" s="1" t="n">
        <v>1.1</v>
      </c>
      <c r="E38" s="1" t="n">
        <f aca="false">C38*D38</f>
        <v>660</v>
      </c>
      <c r="F38" s="1" t="s">
        <v>44</v>
      </c>
      <c r="G38" s="1"/>
      <c r="H38" s="5" t="n">
        <v>46264</v>
      </c>
    </row>
    <row r="39" customFormat="false" ht="14.25" hidden="false" customHeight="true" outlineLevel="0" collapsed="false">
      <c r="A39" s="11" t="b">
        <v>1</v>
      </c>
      <c r="B39" s="1" t="s">
        <v>79</v>
      </c>
      <c r="C39" s="1" t="n">
        <v>300</v>
      </c>
      <c r="D39" s="1" t="n">
        <v>1.1</v>
      </c>
      <c r="E39" s="1" t="n">
        <f aca="false">C39*D39</f>
        <v>330</v>
      </c>
      <c r="F39" s="1" t="s">
        <v>80</v>
      </c>
      <c r="G39" s="1"/>
      <c r="H39" s="5" t="n">
        <v>46264</v>
      </c>
    </row>
    <row r="40" customFormat="false" ht="14.25" hidden="false" customHeight="true" outlineLevel="0" collapsed="false">
      <c r="A40" s="11" t="b">
        <v>1</v>
      </c>
      <c r="B40" s="1" t="s">
        <v>30</v>
      </c>
      <c r="C40" s="1" t="n">
        <v>1500</v>
      </c>
      <c r="D40" s="1" t="n">
        <v>1.1</v>
      </c>
      <c r="E40" s="1" t="n">
        <f aca="false">C40*D40</f>
        <v>1650</v>
      </c>
      <c r="F40" s="1" t="s">
        <v>31</v>
      </c>
      <c r="G40" s="1" t="s">
        <v>81</v>
      </c>
      <c r="H40" s="5" t="n">
        <v>46294</v>
      </c>
    </row>
    <row r="41" customFormat="false" ht="14.25" hidden="false" customHeight="true" outlineLevel="0" collapsed="false">
      <c r="A41" s="11" t="b">
        <v>1</v>
      </c>
      <c r="B41" s="1" t="s">
        <v>82</v>
      </c>
      <c r="C41" s="1" t="n">
        <v>400</v>
      </c>
      <c r="D41" s="1" t="n">
        <v>1.3</v>
      </c>
      <c r="E41" s="1" t="n">
        <f aca="false">C41*D41</f>
        <v>520</v>
      </c>
      <c r="F41" s="1" t="s">
        <v>83</v>
      </c>
      <c r="G41" s="1" t="s">
        <v>84</v>
      </c>
      <c r="H41" s="5" t="n">
        <v>46271</v>
      </c>
    </row>
    <row r="42" customFormat="false" ht="14.25" hidden="false" customHeight="true" outlineLevel="0" collapsed="false">
      <c r="A42" s="11" t="b">
        <v>1</v>
      </c>
      <c r="B42" s="1" t="s">
        <v>22</v>
      </c>
      <c r="C42" s="1" t="n">
        <v>400</v>
      </c>
      <c r="D42" s="1" t="n">
        <v>1.1</v>
      </c>
      <c r="E42" s="1" t="n">
        <f aca="false">C42*D42</f>
        <v>440</v>
      </c>
      <c r="F42" s="1" t="s">
        <v>23</v>
      </c>
      <c r="G42" s="1" t="s">
        <v>85</v>
      </c>
      <c r="H42" s="5" t="n">
        <v>46273</v>
      </c>
    </row>
    <row r="43" customFormat="false" ht="14.25" hidden="false" customHeight="true" outlineLevel="0" collapsed="false">
      <c r="A43" s="11" t="b">
        <v>1</v>
      </c>
      <c r="B43" s="1" t="s">
        <v>86</v>
      </c>
      <c r="C43" s="1" t="n">
        <v>500</v>
      </c>
      <c r="D43" s="1" t="n">
        <v>0.95</v>
      </c>
      <c r="E43" s="1" t="n">
        <f aca="false">C43*D43</f>
        <v>475</v>
      </c>
      <c r="F43" s="1" t="s">
        <v>87</v>
      </c>
      <c r="G43" s="1"/>
      <c r="H43" s="5" t="n">
        <v>46274</v>
      </c>
    </row>
    <row r="44" customFormat="false" ht="14.25" hidden="false" customHeight="true" outlineLevel="0" collapsed="false">
      <c r="A44" s="11" t="b">
        <v>0</v>
      </c>
      <c r="B44" s="1" t="s">
        <v>88</v>
      </c>
      <c r="G44" s="1"/>
    </row>
    <row r="45" customFormat="false" ht="14.25" hidden="false" customHeight="true" outlineLevel="0" collapsed="false">
      <c r="A45" s="11" t="b">
        <v>1</v>
      </c>
      <c r="B45" s="1" t="s">
        <v>7</v>
      </c>
      <c r="C45" s="1" t="n">
        <v>1000</v>
      </c>
      <c r="D45" s="1" t="n">
        <v>1.15</v>
      </c>
      <c r="E45" s="1" t="n">
        <f aca="false">C45*D45</f>
        <v>1150</v>
      </c>
      <c r="F45" s="1" t="s">
        <v>89</v>
      </c>
      <c r="G45" s="1"/>
      <c r="H45" s="5" t="n">
        <v>46281</v>
      </c>
    </row>
    <row r="46" customFormat="false" ht="14.25" hidden="false" customHeight="true" outlineLevel="0" collapsed="false">
      <c r="A46" s="11" t="b">
        <v>1</v>
      </c>
      <c r="B46" s="1" t="s">
        <v>43</v>
      </c>
      <c r="C46" s="1" t="n">
        <v>1000</v>
      </c>
      <c r="D46" s="1" t="n">
        <v>1.1</v>
      </c>
      <c r="E46" s="1" t="n">
        <f aca="false">C46*D46</f>
        <v>1100</v>
      </c>
      <c r="F46" s="1" t="s">
        <v>44</v>
      </c>
      <c r="G46" s="1" t="s">
        <v>90</v>
      </c>
      <c r="H46" s="5" t="n">
        <v>46273</v>
      </c>
    </row>
    <row r="47" customFormat="false" ht="14.25" hidden="false" customHeight="true" outlineLevel="0" collapsed="false">
      <c r="A47" s="11" t="b">
        <v>1</v>
      </c>
      <c r="B47" s="1" t="s">
        <v>91</v>
      </c>
      <c r="C47" s="1" t="n">
        <v>608</v>
      </c>
      <c r="D47" s="1" t="n">
        <f aca="false">700/608</f>
        <v>1.15131578947368</v>
      </c>
      <c r="E47" s="1" t="n">
        <f aca="false">C47*D47</f>
        <v>700</v>
      </c>
      <c r="F47" s="1" t="s">
        <v>92</v>
      </c>
      <c r="G47" s="1" t="s">
        <v>93</v>
      </c>
      <c r="H47" s="5" t="n">
        <v>46285</v>
      </c>
    </row>
    <row r="48" customFormat="false" ht="14.25" hidden="false" customHeight="true" outlineLevel="0" collapsed="false">
      <c r="A48" s="11" t="b">
        <v>1</v>
      </c>
      <c r="B48" s="1" t="s">
        <v>75</v>
      </c>
      <c r="C48" s="1" t="n">
        <v>300</v>
      </c>
      <c r="D48" s="1" t="n">
        <v>1.2</v>
      </c>
      <c r="E48" s="1" t="n">
        <f aca="false">C48*D48</f>
        <v>360</v>
      </c>
      <c r="F48" s="1" t="s">
        <v>76</v>
      </c>
      <c r="G48" s="1"/>
      <c r="H48" s="5" t="n">
        <v>46285</v>
      </c>
    </row>
    <row r="49" customFormat="false" ht="14.25" hidden="false" customHeight="true" outlineLevel="0" collapsed="false">
      <c r="A49" s="11" t="b">
        <v>1</v>
      </c>
      <c r="B49" s="1" t="s">
        <v>52</v>
      </c>
      <c r="C49" s="1" t="n">
        <v>200</v>
      </c>
      <c r="D49" s="1" t="n">
        <v>1.25</v>
      </c>
      <c r="E49" s="1" t="n">
        <f aca="false">C49*D49</f>
        <v>250</v>
      </c>
      <c r="F49" s="1" t="s">
        <v>53</v>
      </c>
      <c r="G49" s="1" t="s">
        <v>78</v>
      </c>
      <c r="H49" s="5" t="n">
        <v>46281</v>
      </c>
    </row>
    <row r="50" customFormat="false" ht="14.25" hidden="false" customHeight="true" outlineLevel="0" collapsed="false">
      <c r="A50" s="11" t="b">
        <v>1</v>
      </c>
      <c r="B50" s="1" t="s">
        <v>22</v>
      </c>
      <c r="C50" s="1" t="n">
        <v>380</v>
      </c>
      <c r="D50" s="1" t="n">
        <v>1.2</v>
      </c>
      <c r="E50" s="1" t="n">
        <f aca="false">C50*D50</f>
        <v>456</v>
      </c>
      <c r="F50" s="1" t="s">
        <v>23</v>
      </c>
      <c r="G50" s="1" t="s">
        <v>94</v>
      </c>
      <c r="H50" s="5" t="n">
        <v>46298</v>
      </c>
    </row>
    <row r="51" customFormat="false" ht="14.25" hidden="false" customHeight="true" outlineLevel="0" collapsed="false">
      <c r="A51" s="11" t="b">
        <v>1</v>
      </c>
      <c r="B51" s="1" t="s">
        <v>95</v>
      </c>
      <c r="C51" s="1" t="n">
        <v>400</v>
      </c>
      <c r="D51" s="1" t="n">
        <v>1</v>
      </c>
      <c r="E51" s="1" t="n">
        <f aca="false">C51*D51</f>
        <v>400</v>
      </c>
      <c r="F51" s="1" t="s">
        <v>96</v>
      </c>
      <c r="G51" s="1" t="s">
        <v>97</v>
      </c>
      <c r="H51" s="5" t="n">
        <v>46287</v>
      </c>
    </row>
    <row r="52" customFormat="false" ht="14.25" hidden="false" customHeight="true" outlineLevel="0" collapsed="false">
      <c r="A52" s="11" t="b">
        <v>1</v>
      </c>
      <c r="B52" s="1" t="s">
        <v>98</v>
      </c>
      <c r="C52" s="1" t="n">
        <v>200</v>
      </c>
      <c r="D52" s="1" t="n">
        <v>1.1</v>
      </c>
      <c r="E52" s="1" t="n">
        <v>245</v>
      </c>
      <c r="F52" s="1" t="s">
        <v>99</v>
      </c>
      <c r="G52" s="1" t="s">
        <v>100</v>
      </c>
      <c r="H52" s="5" t="n">
        <v>46287</v>
      </c>
    </row>
    <row r="53" customFormat="false" ht="14.25" hidden="false" customHeight="true" outlineLevel="0" collapsed="false">
      <c r="A53" s="11" t="b">
        <v>1</v>
      </c>
      <c r="B53" s="1" t="s">
        <v>101</v>
      </c>
      <c r="C53" s="1" t="n">
        <v>300</v>
      </c>
      <c r="D53" s="1" t="n">
        <v>1.2</v>
      </c>
      <c r="E53" s="1" t="n">
        <f aca="false">C53*D53</f>
        <v>360</v>
      </c>
      <c r="F53" s="1" t="s">
        <v>102</v>
      </c>
      <c r="G53" s="1" t="s">
        <v>103</v>
      </c>
      <c r="H53" s="5" t="n">
        <v>46287</v>
      </c>
    </row>
    <row r="54" customFormat="false" ht="14.25" hidden="false" customHeight="true" outlineLevel="0" collapsed="false">
      <c r="A54" s="1"/>
      <c r="B54" s="1" t="s">
        <v>104</v>
      </c>
      <c r="G54" s="1"/>
    </row>
    <row r="55" customFormat="false" ht="14.25" hidden="false" customHeight="true" outlineLevel="0" collapsed="false">
      <c r="A55" s="11" t="b">
        <v>0</v>
      </c>
      <c r="B55" s="1" t="s">
        <v>28</v>
      </c>
      <c r="C55" s="1" t="n">
        <v>1000</v>
      </c>
      <c r="D55" s="1" t="n">
        <v>1.1</v>
      </c>
      <c r="E55" s="1" t="n">
        <f aca="false">C55*D55</f>
        <v>1100</v>
      </c>
      <c r="F55" s="1" t="s">
        <v>29</v>
      </c>
      <c r="G55" s="1" t="s">
        <v>105</v>
      </c>
    </row>
    <row r="56" customFormat="false" ht="14.25" hidden="false" customHeight="true" outlineLevel="0" collapsed="false">
      <c r="A56" s="11" t="b">
        <v>0</v>
      </c>
      <c r="B56" s="1" t="s">
        <v>106</v>
      </c>
      <c r="C56" s="1" t="n">
        <v>400</v>
      </c>
      <c r="D56" s="1" t="n">
        <v>1</v>
      </c>
      <c r="E56" s="1" t="n">
        <f aca="false">C56*D56</f>
        <v>400</v>
      </c>
      <c r="F56" s="1" t="s">
        <v>107</v>
      </c>
      <c r="G56" s="1" t="s">
        <v>108</v>
      </c>
      <c r="H56" s="5"/>
    </row>
    <row r="57" customFormat="false" ht="14.25" hidden="false" customHeight="true" outlineLevel="0" collapsed="false">
      <c r="A57" s="1"/>
      <c r="B57" s="1" t="s">
        <v>109</v>
      </c>
      <c r="G57" s="1"/>
    </row>
    <row r="58" customFormat="false" ht="14.25" hidden="false" customHeight="true" outlineLevel="0" collapsed="false">
      <c r="A58" s="11" t="b">
        <v>1</v>
      </c>
      <c r="B58" s="1" t="s">
        <v>30</v>
      </c>
      <c r="C58" s="1" t="n">
        <v>800</v>
      </c>
      <c r="D58" s="1" t="n">
        <v>0.8</v>
      </c>
      <c r="E58" s="1" t="n">
        <f aca="false">C58*D58</f>
        <v>640</v>
      </c>
      <c r="F58" s="1" t="s">
        <v>31</v>
      </c>
      <c r="G58" s="1"/>
      <c r="H58" s="5" t="n">
        <v>46301</v>
      </c>
    </row>
    <row r="59" customFormat="false" ht="14.25" hidden="false" customHeight="true" outlineLevel="0" collapsed="false">
      <c r="A59" s="11" t="b">
        <v>1</v>
      </c>
      <c r="B59" s="1" t="s">
        <v>43</v>
      </c>
      <c r="C59" s="1" t="n">
        <v>500</v>
      </c>
      <c r="D59" s="1" t="n">
        <v>0.9</v>
      </c>
      <c r="E59" s="1" t="n">
        <f aca="false">C59*D59</f>
        <v>450</v>
      </c>
      <c r="F59" s="1" t="s">
        <v>44</v>
      </c>
      <c r="G59" s="1"/>
      <c r="H59" s="5" t="n">
        <v>46298</v>
      </c>
    </row>
    <row r="60" customFormat="false" ht="14.25" hidden="false" customHeight="true" outlineLevel="0" collapsed="false">
      <c r="A60" s="1"/>
      <c r="B60" s="1" t="s">
        <v>110</v>
      </c>
      <c r="G60" s="1"/>
    </row>
    <row r="61" customFormat="false" ht="14.25" hidden="false" customHeight="true" outlineLevel="0" collapsed="false">
      <c r="A61" s="11" t="b">
        <v>1</v>
      </c>
      <c r="B61" s="1" t="s">
        <v>22</v>
      </c>
      <c r="C61" s="1" t="n">
        <v>420</v>
      </c>
      <c r="D61" s="1" t="n">
        <v>0.9</v>
      </c>
      <c r="E61" s="1" t="n">
        <f aca="false">C61*D61</f>
        <v>378</v>
      </c>
      <c r="F61" s="1" t="s">
        <v>23</v>
      </c>
      <c r="G61" s="1" t="s">
        <v>94</v>
      </c>
      <c r="H61" s="5" t="n">
        <v>46298</v>
      </c>
    </row>
    <row r="62" customFormat="false" ht="14.25" hidden="false" customHeight="true" outlineLevel="0" collapsed="false">
      <c r="A62" s="11" t="b">
        <v>1</v>
      </c>
      <c r="B62" s="1" t="s">
        <v>43</v>
      </c>
      <c r="C62" s="1" t="n">
        <v>500</v>
      </c>
      <c r="D62" s="1" t="n">
        <v>0.9</v>
      </c>
      <c r="E62" s="1" t="n">
        <f aca="false">C62*D62</f>
        <v>450</v>
      </c>
      <c r="F62" s="1" t="s">
        <v>44</v>
      </c>
      <c r="G62" s="1"/>
      <c r="H62" s="5" t="n">
        <v>46298</v>
      </c>
    </row>
    <row r="63" customFormat="false" ht="14.25" hidden="false" customHeight="true" outlineLevel="0" collapsed="false">
      <c r="A63" s="11" t="b">
        <v>0</v>
      </c>
      <c r="B63" s="1" t="s">
        <v>111</v>
      </c>
      <c r="C63" s="1" t="n">
        <v>300</v>
      </c>
      <c r="D63" s="1" t="n">
        <v>1.1</v>
      </c>
      <c r="E63" s="1" t="n">
        <f aca="false">C63*D63</f>
        <v>330</v>
      </c>
      <c r="F63" s="1" t="s">
        <v>112</v>
      </c>
      <c r="H63" s="5"/>
    </row>
    <row r="64" customFormat="false" ht="14.25" hidden="false" customHeight="true" outlineLevel="0" collapsed="false">
      <c r="A64" s="11" t="b">
        <v>1</v>
      </c>
      <c r="B64" s="1" t="s">
        <v>113</v>
      </c>
      <c r="C64" s="1" t="n">
        <v>320</v>
      </c>
      <c r="D64" s="1" t="n">
        <v>0.9</v>
      </c>
      <c r="E64" s="1" t="n">
        <f aca="false">C64*D64</f>
        <v>288</v>
      </c>
      <c r="F64" s="1" t="s">
        <v>114</v>
      </c>
      <c r="G64" s="1" t="s">
        <v>115</v>
      </c>
      <c r="H64" s="5" t="n">
        <v>46298</v>
      </c>
    </row>
    <row r="65" customFormat="false" ht="14.25" hidden="false" customHeight="true" outlineLevel="0" collapsed="false">
      <c r="B65" s="1" t="s">
        <v>116</v>
      </c>
    </row>
    <row r="66" customFormat="false" ht="14.25" hidden="false" customHeight="true" outlineLevel="0" collapsed="false">
      <c r="A66" s="11" t="b">
        <v>0</v>
      </c>
      <c r="B66" s="1" t="s">
        <v>117</v>
      </c>
      <c r="C66" s="1" t="n">
        <v>400</v>
      </c>
      <c r="D66" s="1" t="n">
        <v>0.8</v>
      </c>
      <c r="E66" s="1" t="n">
        <f aca="false">C66*D66</f>
        <v>320</v>
      </c>
      <c r="F66" s="1" t="s">
        <v>118</v>
      </c>
      <c r="G66" s="1" t="s">
        <v>119</v>
      </c>
      <c r="H66" s="5"/>
    </row>
    <row r="67" customFormat="false" ht="14.25" hidden="false" customHeight="true" outlineLevel="0" collapsed="false">
      <c r="A67" s="1"/>
      <c r="B67" s="1" t="s">
        <v>120</v>
      </c>
      <c r="G67" s="1"/>
    </row>
    <row r="68" customFormat="false" ht="14.25" hidden="false" customHeight="true" outlineLevel="0" collapsed="false">
      <c r="A68" s="11" t="b">
        <v>1</v>
      </c>
      <c r="B68" s="1" t="s">
        <v>95</v>
      </c>
      <c r="C68" s="1" t="n">
        <v>400</v>
      </c>
      <c r="D68" s="1" t="n">
        <v>0.6</v>
      </c>
      <c r="E68" s="1" t="n">
        <f aca="false">C68*D68</f>
        <v>240</v>
      </c>
      <c r="F68" s="1" t="s">
        <v>96</v>
      </c>
      <c r="G68" s="1" t="s">
        <v>97</v>
      </c>
      <c r="H68" s="5" t="n">
        <v>46287</v>
      </c>
    </row>
    <row r="69" customFormat="false" ht="14.25" hidden="false" customHeight="true" outlineLevel="0" collapsed="false">
      <c r="A69" s="11" t="b">
        <v>1</v>
      </c>
      <c r="B69" s="1" t="s">
        <v>98</v>
      </c>
      <c r="C69" s="1" t="n">
        <v>300</v>
      </c>
      <c r="D69" s="1" t="n">
        <v>0.75</v>
      </c>
      <c r="E69" s="1" t="n">
        <f aca="false">C69*D69</f>
        <v>225</v>
      </c>
      <c r="F69" s="1" t="s">
        <v>99</v>
      </c>
      <c r="G69" s="1" t="s">
        <v>121</v>
      </c>
      <c r="H69" s="5" t="n">
        <v>46287</v>
      </c>
    </row>
    <row r="70" customFormat="false" ht="14.25" hidden="false" customHeight="true" outlineLevel="0" collapsed="false">
      <c r="A70" s="11" t="b">
        <v>0</v>
      </c>
      <c r="C70" s="3" t="n">
        <f aca="false">SUM(C2:C69)</f>
        <v>30718</v>
      </c>
      <c r="D70" s="3"/>
      <c r="E70" s="4" t="n">
        <f aca="false">SUM(E2:E69)</f>
        <v>37624.5</v>
      </c>
    </row>
    <row r="71" customFormat="false" ht="14.25" hidden="false" customHeight="true" outlineLevel="0" collapsed="false">
      <c r="A71" s="11" t="b">
        <v>0</v>
      </c>
    </row>
    <row r="72" customFormat="false" ht="14.25" hidden="false" customHeight="true" outlineLevel="0" collapsed="false">
      <c r="A72" s="11" t="b">
        <v>0</v>
      </c>
    </row>
    <row r="73" customFormat="false" ht="14.25" hidden="false" customHeight="true" outlineLevel="0" collapsed="false">
      <c r="A73" s="11" t="b">
        <v>0</v>
      </c>
    </row>
    <row r="74" customFormat="false" ht="14.25" hidden="false" customHeight="true" outlineLevel="0" collapsed="false">
      <c r="A74" s="11" t="b">
        <v>0</v>
      </c>
    </row>
    <row r="75" customFormat="false" ht="14.25" hidden="false" customHeight="true" outlineLevel="0" collapsed="false">
      <c r="A75" s="11" t="b">
        <v>0</v>
      </c>
    </row>
    <row r="76" customFormat="false" ht="14.25" hidden="false" customHeight="true" outlineLevel="0" collapsed="false">
      <c r="A76" s="11" t="b">
        <v>0</v>
      </c>
    </row>
    <row r="77" customFormat="false" ht="14.25" hidden="false" customHeight="true" outlineLevel="0" collapsed="false">
      <c r="A77" s="11" t="b">
        <v>0</v>
      </c>
    </row>
    <row r="78" customFormat="false" ht="14.25" hidden="false" customHeight="true" outlineLevel="0" collapsed="false">
      <c r="A78" s="11" t="b">
        <v>0</v>
      </c>
    </row>
    <row r="79" customFormat="false" ht="14.25" hidden="false" customHeight="true" outlineLevel="0" collapsed="false">
      <c r="A79" s="11" t="b">
        <v>0</v>
      </c>
    </row>
    <row r="80" customFormat="false" ht="14.25" hidden="false" customHeight="true" outlineLevel="0" collapsed="false">
      <c r="A80" s="11" t="b">
        <v>0</v>
      </c>
    </row>
    <row r="81" customFormat="false" ht="14.25" hidden="false" customHeight="true" outlineLevel="0" collapsed="false">
      <c r="A81" s="11" t="b">
        <v>0</v>
      </c>
    </row>
    <row r="82" customFormat="false" ht="14.25" hidden="false" customHeight="true" outlineLevel="0" collapsed="false">
      <c r="A82" s="11" t="b">
        <v>0</v>
      </c>
    </row>
    <row r="83" customFormat="false" ht="14.25" hidden="false" customHeight="true" outlineLevel="0" collapsed="false">
      <c r="A83" s="11" t="b">
        <v>0</v>
      </c>
    </row>
    <row r="84" customFormat="false" ht="14.25" hidden="false" customHeight="true" outlineLevel="0" collapsed="false">
      <c r="A84" s="11" t="b">
        <v>0</v>
      </c>
    </row>
    <row r="85" customFormat="false" ht="14.25" hidden="false" customHeight="true" outlineLevel="0" collapsed="false">
      <c r="A85" s="11" t="b">
        <v>0</v>
      </c>
    </row>
    <row r="86" customFormat="false" ht="14.25" hidden="false" customHeight="true" outlineLevel="0" collapsed="false">
      <c r="A86" s="11" t="b">
        <v>0</v>
      </c>
    </row>
    <row r="87" customFormat="false" ht="14.25" hidden="false" customHeight="true" outlineLevel="0" collapsed="false">
      <c r="A87" s="11" t="b">
        <v>0</v>
      </c>
    </row>
    <row r="88" customFormat="false" ht="14.25" hidden="false" customHeight="true" outlineLevel="0" collapsed="false">
      <c r="A88" s="11" t="b">
        <v>0</v>
      </c>
    </row>
  </sheetData>
  <conditionalFormatting sqref="A2:G35">
    <cfRule type="expression" priority="2" aboveAverage="0" equalAverage="0" bottom="0" percent="0" rank="0" text="" dxfId="0">
      <formula>$A2=TRUE()</formula>
    </cfRule>
  </conditionalFormatting>
  <hyperlinks>
    <hyperlink ref="F9" r:id="rId1" display="Stroiß 6, 4730 Waizenkirchen"/>
    <hyperlink ref="F13" r:id="rId2" display="Mistlberg 28, 4284 Tragwein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2026-06-24T08:41:17Z</dcterms:created>
  <dc:creator>Denis Holub</dc:creator>
  <dc:description/>
  <dc:language>en-US</dc:language>
  <cp:lastModifiedBy>Denis Holub</cp:lastModifiedBy>
  <dcterms:modified xsi:type="dcterms:W3CDTF">2026-10-16T17:08:50Z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