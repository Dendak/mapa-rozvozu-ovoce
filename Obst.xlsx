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olub\AppData\Local\Temp\claude\C--Users-holub-OneDrive---Privatgymnasium-der-Herz-Jesu-Missionare-Radtour-2026\cbd12823-693e-4f3b-bb7d-65f09b0003cf\scratchpad\"/>
    </mc:Choice>
  </mc:AlternateContent>
  <xr:revisionPtr revIDLastSave="0" documentId="13_ncr:1_{B7B3816D-D299-4E44-AA1E-B9C9D0520F6E}" xr6:coauthVersionLast="47" xr6:coauthVersionMax="47" xr10:uidLastSave="{00000000-0000-0000-0000-000000000000}"/>
  <bookViews>
    <workbookView xWindow="-38510" yWindow="-110" windowWidth="38620" windowHeight="21100" xr2:uid="{00000000-000D-0000-FFFF-FFFF00000000}"/>
  </bookViews>
  <sheets>
    <sheet name="Tabelle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4" i="1" l="1"/>
  <c r="E53" i="1"/>
  <c r="E52" i="1"/>
  <c r="E50" i="1"/>
  <c r="E49" i="1"/>
  <c r="E48" i="1"/>
  <c r="E47" i="1"/>
  <c r="E46" i="1"/>
  <c r="E45" i="1"/>
  <c r="E43" i="1"/>
  <c r="E42" i="1"/>
  <c r="E41" i="1"/>
  <c r="E40" i="1"/>
  <c r="E39" i="1"/>
  <c r="E38" i="1"/>
  <c r="E37" i="1"/>
  <c r="E36" i="1"/>
  <c r="E35" i="1"/>
  <c r="E34" i="1"/>
  <c r="D33" i="1"/>
  <c r="E33" i="1" s="1"/>
  <c r="D32" i="1"/>
  <c r="E32" i="1" s="1"/>
  <c r="E28" i="1"/>
  <c r="E27" i="1"/>
  <c r="E26" i="1"/>
  <c r="E25" i="1"/>
  <c r="D24" i="1"/>
  <c r="E24" i="1" s="1"/>
  <c r="E23" i="1"/>
  <c r="E22" i="1"/>
  <c r="E21" i="1"/>
  <c r="E20" i="1"/>
  <c r="E19" i="1"/>
  <c r="E18" i="1"/>
  <c r="E17" i="1"/>
  <c r="E16" i="1"/>
  <c r="E15" i="1"/>
  <c r="E14" i="1"/>
  <c r="E13" i="1"/>
  <c r="E12" i="1"/>
  <c r="E10" i="1"/>
  <c r="E9" i="1"/>
  <c r="E8" i="1"/>
  <c r="E7" i="1"/>
  <c r="E6" i="1"/>
  <c r="E4" i="1"/>
  <c r="E2" i="1"/>
  <c r="E54" i="1" s="1"/>
</calcChain>
</file>

<file path=xl/sharedStrings.xml><?xml version="1.0" encoding="utf-8"?>
<sst xmlns="http://schemas.openxmlformats.org/spreadsheetml/2006/main" count="127" uniqueCount="104">
  <si>
    <t>Geliefert</t>
  </si>
  <si>
    <t>Weichsel</t>
  </si>
  <si>
    <t>Geliefert am</t>
  </si>
  <si>
    <t>Rosi Huber</t>
  </si>
  <si>
    <t>Seedorf 4, 4852 Weyregg am Attersee</t>
  </si>
  <si>
    <t>Raphael Kupper</t>
  </si>
  <si>
    <t>Velden am Wörthersee</t>
  </si>
  <si>
    <t>Julia Eigner</t>
  </si>
  <si>
    <t> Haagweg 7, 5550 Radstadt</t>
  </si>
  <si>
    <t>Manuela</t>
  </si>
  <si>
    <t>Bad Hall Eichenstraße 20</t>
  </si>
  <si>
    <t>inkl. 40 € Trinkgeld</t>
  </si>
  <si>
    <t>Johannes Eckerstorfer</t>
  </si>
  <si>
    <t>Unterirrach 6, 4632 Pichl bei Wels</t>
  </si>
  <si>
    <t>Sigi Rieger</t>
  </si>
  <si>
    <t>Forsthub 20, 5350 Abersee</t>
  </si>
  <si>
    <t>Primushäusl Edelbrände (47.7264661, 13.4350206)</t>
  </si>
  <si>
    <t>Wolfgang Dexelheimer</t>
  </si>
  <si>
    <t>Jaukenberg 31/32 4170 Haslach</t>
  </si>
  <si>
    <t>stadlbrennerei</t>
  </si>
  <si>
    <t>Kalteis Leopold</t>
  </si>
  <si>
    <t>Stroiß 6, 4730 Waizenkirchen</t>
  </si>
  <si>
    <t>Ernst Kadar</t>
  </si>
  <si>
    <t>Altaussee 29, 8992 Altaussee</t>
  </si>
  <si>
    <t>abgeholt bei Kalteis (Waizenkirchen), für nächstes Jahr</t>
  </si>
  <si>
    <t>Lukas Undesser</t>
  </si>
  <si>
    <t>Koglerauer Weg 17, 4040 Gramastetten</t>
  </si>
  <si>
    <t>inkl. 20 € Trinkgeld</t>
  </si>
  <si>
    <t>Heiner Burgstaller</t>
  </si>
  <si>
    <t>Brandhoferweg 50, 9873 Döbriach</t>
  </si>
  <si>
    <t>Christof Moser</t>
  </si>
  <si>
    <t>Mistlberg 28, 4284 Tragwein</t>
  </si>
  <si>
    <t>Steiermark Selbstabholung</t>
  </si>
  <si>
    <t>Selbstabholung, Krtely 70</t>
  </si>
  <si>
    <t>Werner</t>
  </si>
  <si>
    <t>Vöcklabruck</t>
  </si>
  <si>
    <t>Milan</t>
  </si>
  <si>
    <t>3710 Ziersdorf</t>
  </si>
  <si>
    <t>Lukas Weissenbacher</t>
  </si>
  <si>
    <t>Markt 61, 5431 Kuchl, Hotel Pension Wagnermigl</t>
  </si>
  <si>
    <t>Apimex</t>
  </si>
  <si>
    <t>Interfruit, Weinzierlstraße 2, 4400 Steyr</t>
  </si>
  <si>
    <t>geliefert 3000 kg, Rest von 3600 storniert</t>
  </si>
  <si>
    <t>Gasteiger</t>
  </si>
  <si>
    <t>Auweg 73, 4820</t>
  </si>
  <si>
    <t>1 Großkiste</t>
  </si>
  <si>
    <t>Flöckner</t>
  </si>
  <si>
    <t>Fahrenzaglstraße 4, Elixhausen</t>
  </si>
  <si>
    <t>Hageneder Roland</t>
  </si>
  <si>
    <t>4551 Ried im Traunkreis. Rührndorf 2</t>
  </si>
  <si>
    <t>Peter Fuchs</t>
  </si>
  <si>
    <t>Lämmererweg 2 5321 Koppl </t>
  </si>
  <si>
    <t>Fuchs Freund</t>
  </si>
  <si>
    <t>Lämmererweg 2 5321 Koppl</t>
  </si>
  <si>
    <t>Herz Jesu</t>
  </si>
  <si>
    <t>Schönleitenstraße 1, 5020 Salzburg</t>
  </si>
  <si>
    <t>pauschal 400 €</t>
  </si>
  <si>
    <t>Werner Mitteregger</t>
  </si>
  <si>
    <t>Zellerstraße 15, 5751 Atzing</t>
  </si>
  <si>
    <t>telefonisch bestellt</t>
  </si>
  <si>
    <t>Christoph Ölsinger</t>
  </si>
  <si>
    <t>Guntendorf 10, 4550 Kremsmünster</t>
  </si>
  <si>
    <t>Hedegg Destillerie</t>
  </si>
  <si>
    <t>Hedegg 35, 5600 St. Johann im Pongau</t>
  </si>
  <si>
    <t>Briendl Michael</t>
  </si>
  <si>
    <t>Oberautal 12, 4642 Sattledt</t>
  </si>
  <si>
    <t>Zwetschken</t>
  </si>
  <si>
    <t>Endesgrabner Johann, Gasthof Troadkastn</t>
  </si>
  <si>
    <t>Rabenschwand 48, 4894 Oberhofen am Irrsee</t>
  </si>
  <si>
    <t>STORNIERT 2026 (OP) – ursprünglich 600 kg à 1,30 – meldet sich 2027 wieder, Tel. +43 664 4233933</t>
  </si>
  <si>
    <t>pauschal 350 €</t>
  </si>
  <si>
    <t>Daniel Steiner</t>
  </si>
  <si>
    <t>Markt 30, 5431 Kuchl</t>
  </si>
  <si>
    <t>pauschal 290 €</t>
  </si>
  <si>
    <t>Johann Lackner</t>
  </si>
  <si>
    <t>5571 Mariapfarr</t>
  </si>
  <si>
    <t>(47.1513091, 13.7456747) Abholung in Salzburg oder Radstadt möglich – Urlaub 9.–18.9.!</t>
  </si>
  <si>
    <t>Armand, Pfarre Koppl</t>
  </si>
  <si>
    <t>5321 Koppl</t>
  </si>
  <si>
    <t>(47.8081289, 13.1570363) Pfarre (bei der Pfarrkirche, Dorfstraße)</t>
  </si>
  <si>
    <t>Rainer</t>
  </si>
  <si>
    <t>Erdmannsdorf 17, 4293 Gutau</t>
  </si>
  <si>
    <t>Sorte Elena</t>
  </si>
  <si>
    <t>Thomas Waldhör</t>
  </si>
  <si>
    <t>Roith 37, 4849 Puchkirchen</t>
  </si>
  <si>
    <t>ca. 400 kg, Zustellung evtl. am Wochenende, Tel. 0664/4412155</t>
  </si>
  <si>
    <t>(47.6422225, 13.7605517) Zustellung nach Hause erst ab Di 8.9.2026, Wunsch: Einwegkisten (nicht umfüllen)</t>
  </si>
  <si>
    <t>Friedl</t>
  </si>
  <si>
    <t>Pfarrhof 11, 4092 Esternberg</t>
  </si>
  <si>
    <t>Birnen Williams</t>
  </si>
  <si>
    <t>Haagweg 7, 5550 Radstadt</t>
  </si>
  <si>
    <t>2 Paletten, 1000 kg, 1100 €</t>
  </si>
  <si>
    <t>Christian Schlick</t>
  </si>
  <si>
    <t>Zederhaus</t>
  </si>
  <si>
    <t>Abholung in Salzburg oder Radstadt möglich</t>
  </si>
  <si>
    <t>(47.1513091, 13.7456747) – Urlaub 9.–18.9.!</t>
  </si>
  <si>
    <t>(47.6422225, 13.7605517) Zustellung erst ab ca. 28.9.</t>
  </si>
  <si>
    <t>Äpfel</t>
  </si>
  <si>
    <t>Gerhard Bayer</t>
  </si>
  <si>
    <t>Dorf 14, 5603 Kleinarl</t>
  </si>
  <si>
    <t>Abholung in Salzburg möglich – Preis 0,70 noch nicht fix vereinbart</t>
  </si>
  <si>
    <t>Ferdinand Huber</t>
  </si>
  <si>
    <t>Kreuzsalgasse 4, 5603 Kleinarl</t>
  </si>
  <si>
    <t>(47.2765915, 13.3198029)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</si>
</sst>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€&quot;\ * #,##0.00_-;\-&quot;€&quot;\ * #,##0.00_-;_-&quot;€&quot;\ * &quot;-&quot;??_-;_-@_-"/>
    <numFmt numFmtId="164" formatCode="0\ &quot;kg&quot;"/>
    <numFmt numFmtId="165" formatCode="dd\.mm\.yyyy"/>
  </numFmts>
  <fonts count="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9"/>
      <color rgb="FF14004C"/>
      <name val="Arial"/>
      <family val="2"/>
    </font>
    <font>
      <sz val="7"/>
      <color rgb="FF474747"/>
      <name val="Arial"/>
      <family val="2"/>
    </font>
    <font>
      <sz val="11"/>
      <color theme="1"/>
      <name val="Calibri"/>
      <family val="2"/>
    </font>
    <font>
      <sz val="7"/>
      <color rgb="FF474747"/>
      <name val="Arial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4" fontId="1" fillId="0" borderId="0"/>
    <xf numFmtId="0" fontId="2" fillId="0" borderId="0"/>
  </cellStyleXfs>
  <cellXfs count="11">
    <xf numFmtId="0" fontId="0" fillId="0" borderId="0" xfId="0"/>
    <xf numFmtId="0" fontId="2" fillId="0" borderId="0" xfId="2"/>
    <xf numFmtId="44" fontId="0" fillId="0" borderId="0" xfId="1" applyFont="1"/>
    <xf numFmtId="164" fontId="0" fillId="0" borderId="0" xfId="0" applyNumberForma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44" fontId="0" fillId="0" borderId="0" xfId="0" applyNumberFormat="1"/>
    <xf numFmtId="0" fontId="1" fillId="0" borderId="0" xfId="0" applyFont="1"/>
    <xf numFmtId="165" fontId="1" fillId="0" borderId="0" xfId="0" applyNumberFormat="1" applyFont="1"/>
  </cellXfs>
  <cellStyles count="3">
    <cellStyle name="Link" xfId="2" builtinId="8"/>
    <cellStyle name="Standard" xfId="0" builtinId="0"/>
    <cellStyle name="Währung" xfId="1" builtinId="4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google.com/maps/place/data=!4m2!3m1!1s0x4773af04442266fd:0x116ce1c69494bb32?sa=X&amp;ved=1t:8290&amp;ictx=111" TargetMode="External"/><Relationship Id="rId1" Type="http://schemas.openxmlformats.org/officeDocument/2006/relationships/hyperlink" Target="https://www.google.com/maps/place/data=!4m2!3m1!1s0x47747715538db01d:0x16d28a73419a5295?sa=X&amp;ved=1t:8290&amp;ictx=11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72"/>
  <sheetViews>
    <sheetView tabSelected="1" workbookViewId="0">
      <selection activeCell="N24" sqref="N24"/>
    </sheetView>
  </sheetViews>
  <sheetFormatPr baseColWidth="10" defaultColWidth="10.7265625" defaultRowHeight="14.5" x14ac:dyDescent="0.35"/>
  <cols>
    <col min="2" max="2" width="19" bestFit="1" customWidth="1"/>
    <col min="3" max="3" width="23.26953125" customWidth="1"/>
    <col min="4" max="4" width="8.36328125" bestFit="1" customWidth="1"/>
    <col min="5" max="5" width="12" bestFit="1" customWidth="1"/>
    <col min="6" max="6" width="31.453125" bestFit="1" customWidth="1"/>
    <col min="8" max="8" width="13" customWidth="1"/>
  </cols>
  <sheetData>
    <row r="1" spans="1:8" x14ac:dyDescent="0.35">
      <c r="A1" t="s">
        <v>0</v>
      </c>
      <c r="B1" t="s">
        <v>1</v>
      </c>
      <c r="H1" s="9" t="s">
        <v>2</v>
      </c>
    </row>
    <row r="2" spans="1:8" x14ac:dyDescent="0.35">
      <c r="A2" t="b">
        <v>1</v>
      </c>
      <c r="B2" t="s">
        <v>3</v>
      </c>
      <c r="C2" s="3">
        <v>600</v>
      </c>
      <c r="D2" s="2">
        <v>1.5</v>
      </c>
      <c r="E2" s="2">
        <f>C2*D2</f>
        <v>900</v>
      </c>
      <c r="F2" t="s">
        <v>4</v>
      </c>
      <c r="H2" s="10">
        <v>46229</v>
      </c>
    </row>
    <row r="3" spans="1:8" x14ac:dyDescent="0.35">
      <c r="A3" t="b">
        <v>1</v>
      </c>
      <c r="B3" t="s">
        <v>5</v>
      </c>
      <c r="C3" s="3">
        <v>410</v>
      </c>
      <c r="D3" s="2">
        <v>1.5</v>
      </c>
      <c r="E3" s="2">
        <v>600</v>
      </c>
      <c r="F3" t="s">
        <v>6</v>
      </c>
      <c r="H3" s="10">
        <v>46233</v>
      </c>
    </row>
    <row r="4" spans="1:8" x14ac:dyDescent="0.35">
      <c r="A4" t="b">
        <v>1</v>
      </c>
      <c r="B4" t="s">
        <v>7</v>
      </c>
      <c r="C4" s="3">
        <v>1000</v>
      </c>
      <c r="D4" s="2">
        <v>1.5</v>
      </c>
      <c r="E4" s="2">
        <f>C4*D4</f>
        <v>1500</v>
      </c>
      <c r="F4" t="s">
        <v>8</v>
      </c>
      <c r="H4" s="10">
        <v>46233</v>
      </c>
    </row>
    <row r="5" spans="1:8" x14ac:dyDescent="0.35">
      <c r="A5" t="b">
        <v>1</v>
      </c>
      <c r="B5" t="s">
        <v>9</v>
      </c>
      <c r="C5" s="3">
        <v>200</v>
      </c>
      <c r="D5" s="2">
        <v>1.5</v>
      </c>
      <c r="E5" s="2">
        <v>340</v>
      </c>
      <c r="F5" t="s">
        <v>10</v>
      </c>
      <c r="G5" t="s">
        <v>11</v>
      </c>
      <c r="H5" s="10">
        <v>46229</v>
      </c>
    </row>
    <row r="6" spans="1:8" x14ac:dyDescent="0.35">
      <c r="A6" t="b">
        <v>1</v>
      </c>
      <c r="B6" t="s">
        <v>12</v>
      </c>
      <c r="C6" s="3">
        <v>350</v>
      </c>
      <c r="D6" s="2">
        <v>1.5</v>
      </c>
      <c r="E6" s="2">
        <f>C6*D6</f>
        <v>525</v>
      </c>
      <c r="F6" t="s">
        <v>13</v>
      </c>
      <c r="H6" s="10">
        <v>46231</v>
      </c>
    </row>
    <row r="7" spans="1:8" x14ac:dyDescent="0.35">
      <c r="A7" t="b">
        <v>1</v>
      </c>
      <c r="B7" t="s">
        <v>14</v>
      </c>
      <c r="C7" s="3">
        <v>1000</v>
      </c>
      <c r="D7" s="2">
        <v>1.5</v>
      </c>
      <c r="E7" s="2">
        <f>C7*D7</f>
        <v>1500</v>
      </c>
      <c r="F7" t="s">
        <v>15</v>
      </c>
      <c r="G7" t="s">
        <v>16</v>
      </c>
      <c r="H7" s="10">
        <v>46231</v>
      </c>
    </row>
    <row r="8" spans="1:8" x14ac:dyDescent="0.35">
      <c r="A8" t="b">
        <v>1</v>
      </c>
      <c r="B8" t="s">
        <v>17</v>
      </c>
      <c r="C8" s="3">
        <v>300</v>
      </c>
      <c r="D8" s="2">
        <v>1.5</v>
      </c>
      <c r="E8" s="2">
        <f>C8*D8</f>
        <v>450</v>
      </c>
      <c r="F8" s="5" t="s">
        <v>18</v>
      </c>
      <c r="G8" t="s">
        <v>19</v>
      </c>
      <c r="H8" s="10">
        <v>46238</v>
      </c>
    </row>
    <row r="9" spans="1:8" x14ac:dyDescent="0.35">
      <c r="A9" t="b">
        <v>1</v>
      </c>
      <c r="B9" t="s">
        <v>20</v>
      </c>
      <c r="C9" s="3">
        <v>400</v>
      </c>
      <c r="D9" s="2">
        <v>1.5</v>
      </c>
      <c r="E9" s="2">
        <f>C9*D9</f>
        <v>600</v>
      </c>
      <c r="F9" s="1" t="s">
        <v>21</v>
      </c>
      <c r="H9" s="10">
        <v>46229</v>
      </c>
    </row>
    <row r="10" spans="1:8" x14ac:dyDescent="0.35">
      <c r="A10" t="b">
        <v>1</v>
      </c>
      <c r="B10" t="s">
        <v>22</v>
      </c>
      <c r="C10" s="3">
        <v>200</v>
      </c>
      <c r="D10" s="2">
        <v>1.5</v>
      </c>
      <c r="E10" s="2">
        <f>C10*D10</f>
        <v>300</v>
      </c>
      <c r="F10" s="1" t="s">
        <v>23</v>
      </c>
      <c r="G10" t="s">
        <v>24</v>
      </c>
      <c r="H10" s="10">
        <v>46231</v>
      </c>
    </row>
    <row r="11" spans="1:8" x14ac:dyDescent="0.35">
      <c r="A11" t="b">
        <v>1</v>
      </c>
      <c r="B11" t="s">
        <v>25</v>
      </c>
      <c r="C11" s="3">
        <v>100</v>
      </c>
      <c r="D11" s="2">
        <v>1.5</v>
      </c>
      <c r="E11" s="2">
        <v>170</v>
      </c>
      <c r="F11" t="s">
        <v>26</v>
      </c>
      <c r="G11" t="s">
        <v>27</v>
      </c>
      <c r="H11" s="10">
        <v>46229</v>
      </c>
    </row>
    <row r="12" spans="1:8" x14ac:dyDescent="0.35">
      <c r="A12" t="b">
        <v>1</v>
      </c>
      <c r="B12" t="s">
        <v>28</v>
      </c>
      <c r="C12" s="3">
        <v>640</v>
      </c>
      <c r="D12" s="2">
        <v>1.5</v>
      </c>
      <c r="E12" s="2">
        <f t="shared" ref="E12:E28" si="0">C12*D12</f>
        <v>960</v>
      </c>
      <c r="F12" t="s">
        <v>29</v>
      </c>
      <c r="H12" s="10">
        <v>46233</v>
      </c>
    </row>
    <row r="13" spans="1:8" x14ac:dyDescent="0.35">
      <c r="A13" t="b">
        <v>1</v>
      </c>
      <c r="B13" t="s">
        <v>30</v>
      </c>
      <c r="C13" s="3">
        <v>900</v>
      </c>
      <c r="D13" s="2">
        <v>1.25</v>
      </c>
      <c r="E13" s="2">
        <f t="shared" si="0"/>
        <v>1125</v>
      </c>
      <c r="F13" s="1" t="s">
        <v>31</v>
      </c>
      <c r="H13" s="10">
        <v>46229</v>
      </c>
    </row>
    <row r="14" spans="1:8" x14ac:dyDescent="0.35">
      <c r="A14" t="b">
        <v>1</v>
      </c>
      <c r="B14" t="s">
        <v>32</v>
      </c>
      <c r="C14" s="3">
        <v>1000</v>
      </c>
      <c r="D14" s="2">
        <v>1</v>
      </c>
      <c r="E14" s="2">
        <f t="shared" si="0"/>
        <v>1000</v>
      </c>
      <c r="F14" t="s">
        <v>33</v>
      </c>
      <c r="H14" s="10">
        <v>46229</v>
      </c>
    </row>
    <row r="15" spans="1:8" x14ac:dyDescent="0.35">
      <c r="A15" t="b">
        <v>1</v>
      </c>
      <c r="B15" t="s">
        <v>34</v>
      </c>
      <c r="C15" s="3">
        <v>60</v>
      </c>
      <c r="D15" s="2">
        <v>1.5</v>
      </c>
      <c r="E15" s="2">
        <f t="shared" si="0"/>
        <v>90</v>
      </c>
      <c r="F15" t="s">
        <v>35</v>
      </c>
      <c r="H15" s="10">
        <v>46233</v>
      </c>
    </row>
    <row r="16" spans="1:8" x14ac:dyDescent="0.35">
      <c r="A16" t="b">
        <v>1</v>
      </c>
      <c r="B16" t="s">
        <v>36</v>
      </c>
      <c r="C16" s="3">
        <v>150</v>
      </c>
      <c r="D16" s="2">
        <v>1.5</v>
      </c>
      <c r="E16" s="2">
        <f t="shared" si="0"/>
        <v>225</v>
      </c>
      <c r="F16" t="s">
        <v>33</v>
      </c>
      <c r="G16" t="s">
        <v>37</v>
      </c>
      <c r="H16" s="10">
        <v>46221</v>
      </c>
    </row>
    <row r="17" spans="1:8" x14ac:dyDescent="0.35">
      <c r="A17" t="b">
        <v>1</v>
      </c>
      <c r="B17" t="s">
        <v>38</v>
      </c>
      <c r="C17" s="3">
        <v>600</v>
      </c>
      <c r="D17" s="2">
        <v>1.4</v>
      </c>
      <c r="E17" s="2">
        <f t="shared" si="0"/>
        <v>840</v>
      </c>
      <c r="F17" t="s">
        <v>39</v>
      </c>
      <c r="H17" s="10">
        <v>46231</v>
      </c>
    </row>
    <row r="18" spans="1:8" x14ac:dyDescent="0.35">
      <c r="A18" t="b">
        <v>1</v>
      </c>
      <c r="B18" t="s">
        <v>40</v>
      </c>
      <c r="C18" s="3">
        <v>3000</v>
      </c>
      <c r="D18" s="2">
        <v>1.3</v>
      </c>
      <c r="E18" s="2">
        <f t="shared" si="0"/>
        <v>3900</v>
      </c>
      <c r="F18" s="6" t="s">
        <v>41</v>
      </c>
      <c r="G18" t="s">
        <v>42</v>
      </c>
      <c r="H18" s="10">
        <v>46231</v>
      </c>
    </row>
    <row r="19" spans="1:8" x14ac:dyDescent="0.35">
      <c r="A19" t="b">
        <v>1</v>
      </c>
      <c r="B19" t="s">
        <v>43</v>
      </c>
      <c r="C19" s="3">
        <v>500</v>
      </c>
      <c r="D19" s="2">
        <v>1.5</v>
      </c>
      <c r="E19" s="2">
        <f t="shared" si="0"/>
        <v>750</v>
      </c>
      <c r="F19" t="s">
        <v>44</v>
      </c>
      <c r="G19" t="s">
        <v>45</v>
      </c>
      <c r="H19" s="10">
        <v>46231</v>
      </c>
    </row>
    <row r="20" spans="1:8" x14ac:dyDescent="0.35">
      <c r="A20" t="b">
        <v>1</v>
      </c>
      <c r="B20" t="s">
        <v>46</v>
      </c>
      <c r="C20" s="3">
        <v>200</v>
      </c>
      <c r="D20" s="2">
        <v>1.5</v>
      </c>
      <c r="E20" s="2">
        <f t="shared" si="0"/>
        <v>300</v>
      </c>
      <c r="F20" s="4" t="s">
        <v>47</v>
      </c>
      <c r="H20" s="10">
        <v>46222</v>
      </c>
    </row>
    <row r="21" spans="1:8" x14ac:dyDescent="0.35">
      <c r="A21" t="b">
        <v>1</v>
      </c>
      <c r="B21" t="s">
        <v>48</v>
      </c>
      <c r="C21" s="3">
        <v>200</v>
      </c>
      <c r="D21" s="2">
        <v>1.5</v>
      </c>
      <c r="E21" s="2">
        <f t="shared" si="0"/>
        <v>300</v>
      </c>
      <c r="F21" s="5" t="s">
        <v>49</v>
      </c>
      <c r="H21" s="10">
        <v>46229</v>
      </c>
    </row>
    <row r="22" spans="1:8" x14ac:dyDescent="0.35">
      <c r="A22" t="b">
        <v>1</v>
      </c>
      <c r="B22" t="s">
        <v>50</v>
      </c>
      <c r="C22" s="3">
        <v>540</v>
      </c>
      <c r="D22" s="2">
        <v>1.5</v>
      </c>
      <c r="E22" s="2">
        <f t="shared" si="0"/>
        <v>810</v>
      </c>
      <c r="F22" s="5" t="s">
        <v>51</v>
      </c>
      <c r="H22" s="10">
        <v>46222</v>
      </c>
    </row>
    <row r="23" spans="1:8" x14ac:dyDescent="0.35">
      <c r="A23" t="b">
        <v>1</v>
      </c>
      <c r="B23" t="s">
        <v>52</v>
      </c>
      <c r="C23" s="3">
        <v>100</v>
      </c>
      <c r="D23" s="2">
        <v>1.5</v>
      </c>
      <c r="E23" s="2">
        <f t="shared" si="0"/>
        <v>150</v>
      </c>
      <c r="F23" s="7" t="s">
        <v>53</v>
      </c>
      <c r="H23" s="10">
        <v>46222</v>
      </c>
    </row>
    <row r="24" spans="1:8" x14ac:dyDescent="0.35">
      <c r="A24" t="b">
        <v>1</v>
      </c>
      <c r="B24" t="s">
        <v>54</v>
      </c>
      <c r="C24" s="3">
        <v>360</v>
      </c>
      <c r="D24" s="2">
        <f>400/360</f>
        <v>1.1111111111111112</v>
      </c>
      <c r="E24" s="2">
        <f t="shared" si="0"/>
        <v>400</v>
      </c>
      <c r="F24" s="7" t="s">
        <v>55</v>
      </c>
      <c r="G24" t="s">
        <v>56</v>
      </c>
      <c r="H24" s="10">
        <v>46222</v>
      </c>
    </row>
    <row r="25" spans="1:8" x14ac:dyDescent="0.35">
      <c r="A25" t="b">
        <v>1</v>
      </c>
      <c r="B25" t="s">
        <v>57</v>
      </c>
      <c r="C25">
        <v>950</v>
      </c>
      <c r="D25">
        <v>1.5</v>
      </c>
      <c r="E25">
        <f t="shared" si="0"/>
        <v>1425</v>
      </c>
      <c r="F25" t="s">
        <v>58</v>
      </c>
      <c r="G25" t="s">
        <v>59</v>
      </c>
      <c r="H25" s="10">
        <v>46233</v>
      </c>
    </row>
    <row r="26" spans="1:8" x14ac:dyDescent="0.35">
      <c r="A26" s="9" t="b">
        <v>1</v>
      </c>
      <c r="B26" s="9" t="s">
        <v>60</v>
      </c>
      <c r="C26" s="9">
        <v>300</v>
      </c>
      <c r="D26" s="9">
        <v>1.5</v>
      </c>
      <c r="E26" s="9">
        <f t="shared" si="0"/>
        <v>450</v>
      </c>
      <c r="F26" s="9" t="s">
        <v>61</v>
      </c>
      <c r="G26" s="9"/>
      <c r="H26" s="10">
        <v>46231</v>
      </c>
    </row>
    <row r="27" spans="1:8" x14ac:dyDescent="0.35">
      <c r="A27" s="9" t="b">
        <v>1</v>
      </c>
      <c r="B27" s="9" t="s">
        <v>62</v>
      </c>
      <c r="C27" s="9">
        <v>1000</v>
      </c>
      <c r="D27" s="9">
        <v>1.5</v>
      </c>
      <c r="E27" s="9">
        <f t="shared" si="0"/>
        <v>1500</v>
      </c>
      <c r="F27" s="9" t="s">
        <v>63</v>
      </c>
      <c r="G27" s="9"/>
      <c r="H27" s="10">
        <v>46238</v>
      </c>
    </row>
    <row r="28" spans="1:8" x14ac:dyDescent="0.35">
      <c r="A28" s="9" t="b">
        <v>1</v>
      </c>
      <c r="B28" s="9" t="s">
        <v>64</v>
      </c>
      <c r="C28" s="9">
        <v>300</v>
      </c>
      <c r="D28" s="9">
        <v>1.5</v>
      </c>
      <c r="E28" s="9">
        <f t="shared" si="0"/>
        <v>450</v>
      </c>
      <c r="F28" s="9" t="s">
        <v>65</v>
      </c>
      <c r="G28" s="9"/>
      <c r="H28" s="10">
        <v>46238</v>
      </c>
    </row>
    <row r="29" spans="1:8" x14ac:dyDescent="0.35">
      <c r="A29" t="b">
        <v>0</v>
      </c>
    </row>
    <row r="30" spans="1:8" x14ac:dyDescent="0.35">
      <c r="A30" s="9" t="b">
        <v>0</v>
      </c>
      <c r="B30" s="9" t="s">
        <v>66</v>
      </c>
      <c r="C30" s="9"/>
      <c r="D30" s="9"/>
      <c r="E30" s="9"/>
      <c r="F30" s="9"/>
      <c r="G30" s="9"/>
    </row>
    <row r="31" spans="1:8" x14ac:dyDescent="0.35">
      <c r="A31" s="9" t="b">
        <v>0</v>
      </c>
      <c r="B31" s="9" t="s">
        <v>67</v>
      </c>
      <c r="C31" s="9">
        <v>0</v>
      </c>
      <c r="D31" s="9"/>
      <c r="E31" s="9"/>
      <c r="F31" s="9" t="s">
        <v>68</v>
      </c>
      <c r="G31" s="9" t="s">
        <v>69</v>
      </c>
    </row>
    <row r="32" spans="1:8" x14ac:dyDescent="0.35">
      <c r="A32" s="9" t="b">
        <v>1</v>
      </c>
      <c r="B32" s="9" t="s">
        <v>54</v>
      </c>
      <c r="C32" s="9">
        <v>380</v>
      </c>
      <c r="D32" s="9">
        <f>350/380</f>
        <v>0.92105263157894735</v>
      </c>
      <c r="E32" s="9">
        <f t="shared" ref="E32:E43" si="1">C32*D32</f>
        <v>350</v>
      </c>
      <c r="F32" s="9" t="s">
        <v>55</v>
      </c>
      <c r="G32" s="9" t="s">
        <v>70</v>
      </c>
      <c r="H32" s="10">
        <v>46271</v>
      </c>
    </row>
    <row r="33" spans="1:8" x14ac:dyDescent="0.35">
      <c r="A33" s="9" t="b">
        <v>1</v>
      </c>
      <c r="B33" s="9" t="s">
        <v>71</v>
      </c>
      <c r="C33" s="9">
        <v>260</v>
      </c>
      <c r="D33" s="9">
        <f>290/260</f>
        <v>1.1153846153846154</v>
      </c>
      <c r="E33" s="9">
        <f t="shared" si="1"/>
        <v>290</v>
      </c>
      <c r="F33" s="9" t="s">
        <v>72</v>
      </c>
      <c r="G33" s="9" t="s">
        <v>73</v>
      </c>
      <c r="H33" s="10">
        <v>46271</v>
      </c>
    </row>
    <row r="34" spans="1:8" x14ac:dyDescent="0.35">
      <c r="A34" s="9" t="b">
        <v>0</v>
      </c>
      <c r="B34" s="9" t="s">
        <v>74</v>
      </c>
      <c r="C34" s="9">
        <v>300</v>
      </c>
      <c r="D34" s="9">
        <v>1.3</v>
      </c>
      <c r="E34" s="9">
        <f t="shared" si="1"/>
        <v>390</v>
      </c>
      <c r="F34" s="9" t="s">
        <v>75</v>
      </c>
      <c r="G34" s="9" t="s">
        <v>76</v>
      </c>
    </row>
    <row r="35" spans="1:8" x14ac:dyDescent="0.35">
      <c r="A35" s="9" t="b">
        <v>0</v>
      </c>
      <c r="B35" s="9" t="s">
        <v>77</v>
      </c>
      <c r="C35" s="9">
        <v>150</v>
      </c>
      <c r="D35" s="9">
        <v>1.25</v>
      </c>
      <c r="E35" s="9">
        <f t="shared" si="1"/>
        <v>187.5</v>
      </c>
      <c r="F35" s="9" t="s">
        <v>78</v>
      </c>
      <c r="G35" s="9" t="s">
        <v>79</v>
      </c>
    </row>
    <row r="36" spans="1:8" x14ac:dyDescent="0.35">
      <c r="A36" s="9" t="b">
        <v>1</v>
      </c>
      <c r="B36" s="9" t="s">
        <v>46</v>
      </c>
      <c r="C36" s="9">
        <v>200</v>
      </c>
      <c r="D36" s="9">
        <v>1.1000000000000001</v>
      </c>
      <c r="E36" s="9">
        <f t="shared" si="1"/>
        <v>220.00000000000003</v>
      </c>
      <c r="F36" s="9" t="s">
        <v>47</v>
      </c>
      <c r="G36" s="9"/>
      <c r="H36" s="10">
        <v>46264</v>
      </c>
    </row>
    <row r="37" spans="1:8" x14ac:dyDescent="0.35">
      <c r="A37" s="9" t="b">
        <v>1</v>
      </c>
      <c r="B37" s="9" t="s">
        <v>3</v>
      </c>
      <c r="C37" s="9">
        <v>600</v>
      </c>
      <c r="D37" s="9">
        <v>1.1000000000000001</v>
      </c>
      <c r="E37" s="9">
        <f t="shared" si="1"/>
        <v>660</v>
      </c>
      <c r="F37" s="9" t="s">
        <v>4</v>
      </c>
      <c r="G37" s="9"/>
      <c r="H37" s="10">
        <v>46264</v>
      </c>
    </row>
    <row r="38" spans="1:8" x14ac:dyDescent="0.35">
      <c r="A38" s="9" t="b">
        <v>1</v>
      </c>
      <c r="B38" s="9" t="s">
        <v>43</v>
      </c>
      <c r="C38" s="9">
        <v>600</v>
      </c>
      <c r="D38" s="9">
        <v>1.1000000000000001</v>
      </c>
      <c r="E38" s="9">
        <f t="shared" si="1"/>
        <v>660</v>
      </c>
      <c r="F38" s="9" t="s">
        <v>44</v>
      </c>
      <c r="G38" s="9"/>
      <c r="H38" s="10">
        <v>46264</v>
      </c>
    </row>
    <row r="39" spans="1:8" x14ac:dyDescent="0.35">
      <c r="A39" s="9" t="b">
        <v>1</v>
      </c>
      <c r="B39" s="9" t="s">
        <v>80</v>
      </c>
      <c r="C39" s="9">
        <v>300</v>
      </c>
      <c r="D39" s="9">
        <v>1.1000000000000001</v>
      </c>
      <c r="E39" s="9">
        <f t="shared" si="1"/>
        <v>330</v>
      </c>
      <c r="F39" s="9" t="s">
        <v>81</v>
      </c>
      <c r="G39" s="9"/>
      <c r="H39" s="10">
        <v>46264</v>
      </c>
    </row>
    <row r="40" spans="1:8" x14ac:dyDescent="0.35">
      <c r="A40" s="9" t="b">
        <v>0</v>
      </c>
      <c r="B40" s="9" t="s">
        <v>30</v>
      </c>
      <c r="C40" s="9">
        <v>1500</v>
      </c>
      <c r="D40" s="9">
        <v>1.1000000000000001</v>
      </c>
      <c r="E40" s="9">
        <f t="shared" si="1"/>
        <v>1650.0000000000002</v>
      </c>
      <c r="F40" s="9" t="s">
        <v>31</v>
      </c>
      <c r="G40" s="9" t="s">
        <v>82</v>
      </c>
    </row>
    <row r="41" spans="1:8" x14ac:dyDescent="0.35">
      <c r="A41" s="9" t="b">
        <v>1</v>
      </c>
      <c r="B41" s="9" t="s">
        <v>83</v>
      </c>
      <c r="C41" s="9">
        <v>400</v>
      </c>
      <c r="D41" s="9">
        <v>1.3</v>
      </c>
      <c r="E41" s="9">
        <f t="shared" si="1"/>
        <v>520</v>
      </c>
      <c r="F41" s="9" t="s">
        <v>84</v>
      </c>
      <c r="G41" s="9" t="s">
        <v>85</v>
      </c>
      <c r="H41" s="10">
        <v>46271</v>
      </c>
    </row>
    <row r="42" spans="1:8" x14ac:dyDescent="0.35">
      <c r="A42" s="9" t="b">
        <v>1</v>
      </c>
      <c r="B42" s="9" t="s">
        <v>22</v>
      </c>
      <c r="C42" s="9">
        <v>400</v>
      </c>
      <c r="D42" s="9">
        <v>1.1000000000000001</v>
      </c>
      <c r="E42" s="9">
        <f t="shared" si="1"/>
        <v>440.00000000000006</v>
      </c>
      <c r="F42" s="9" t="s">
        <v>23</v>
      </c>
      <c r="G42" s="9" t="s">
        <v>86</v>
      </c>
      <c r="H42" s="10">
        <v>46273</v>
      </c>
    </row>
    <row r="43" spans="1:8" x14ac:dyDescent="0.35">
      <c r="A43" s="9" t="b">
        <v>1</v>
      </c>
      <c r="B43" s="9" t="s">
        <v>87</v>
      </c>
      <c r="C43" s="9">
        <v>500</v>
      </c>
      <c r="D43" s="9">
        <v>0.95</v>
      </c>
      <c r="E43" s="9">
        <f t="shared" si="1"/>
        <v>475</v>
      </c>
      <c r="F43" s="9" t="s">
        <v>88</v>
      </c>
      <c r="G43" s="9"/>
      <c r="H43" s="10">
        <v>46274</v>
      </c>
    </row>
    <row r="44" spans="1:8" x14ac:dyDescent="0.35">
      <c r="A44" s="9" t="b">
        <v>0</v>
      </c>
      <c r="B44" s="9" t="s">
        <v>89</v>
      </c>
      <c r="C44" s="9"/>
      <c r="D44" s="9"/>
      <c r="E44" s="9"/>
      <c r="F44" s="9"/>
      <c r="G44" s="9"/>
    </row>
    <row r="45" spans="1:8" x14ac:dyDescent="0.35">
      <c r="A45" s="9" t="b">
        <v>0</v>
      </c>
      <c r="B45" s="9" t="s">
        <v>7</v>
      </c>
      <c r="C45" s="9">
        <v>1000</v>
      </c>
      <c r="D45" s="9">
        <v>1.2</v>
      </c>
      <c r="E45" s="9">
        <f t="shared" ref="E45:E50" si="2">C45*D45</f>
        <v>1200</v>
      </c>
      <c r="F45" s="9" t="s">
        <v>90</v>
      </c>
      <c r="G45" s="9"/>
    </row>
    <row r="46" spans="1:8" x14ac:dyDescent="0.35">
      <c r="A46" s="9" t="b">
        <v>1</v>
      </c>
      <c r="B46" s="9" t="s">
        <v>43</v>
      </c>
      <c r="C46" s="9">
        <v>1000</v>
      </c>
      <c r="D46" s="9">
        <v>1.1000000000000001</v>
      </c>
      <c r="E46" s="9">
        <f t="shared" si="2"/>
        <v>1100</v>
      </c>
      <c r="F46" s="9" t="s">
        <v>44</v>
      </c>
      <c r="G46" s="9" t="s">
        <v>91</v>
      </c>
      <c r="H46" s="10">
        <v>46273</v>
      </c>
    </row>
    <row r="47" spans="1:8" x14ac:dyDescent="0.35">
      <c r="A47" s="9" t="b">
        <v>0</v>
      </c>
      <c r="B47" s="9" t="s">
        <v>92</v>
      </c>
      <c r="C47" s="9">
        <v>600</v>
      </c>
      <c r="D47" s="9">
        <v>1.2</v>
      </c>
      <c r="E47" s="9">
        <f t="shared" si="2"/>
        <v>720</v>
      </c>
      <c r="F47" s="9" t="s">
        <v>93</v>
      </c>
      <c r="G47" s="9" t="s">
        <v>94</v>
      </c>
    </row>
    <row r="48" spans="1:8" x14ac:dyDescent="0.35">
      <c r="A48" s="9" t="b">
        <v>0</v>
      </c>
      <c r="B48" s="9" t="s">
        <v>74</v>
      </c>
      <c r="C48" s="9">
        <v>300</v>
      </c>
      <c r="D48" s="9">
        <v>1.2</v>
      </c>
      <c r="E48" s="9">
        <f t="shared" si="2"/>
        <v>360</v>
      </c>
      <c r="F48" s="9" t="s">
        <v>75</v>
      </c>
      <c r="G48" s="9" t="s">
        <v>95</v>
      </c>
    </row>
    <row r="49" spans="1:8" x14ac:dyDescent="0.35">
      <c r="A49" s="9" t="b">
        <v>0</v>
      </c>
      <c r="B49" s="9" t="s">
        <v>77</v>
      </c>
      <c r="C49" s="9">
        <v>200</v>
      </c>
      <c r="D49" s="9">
        <v>1.25</v>
      </c>
      <c r="E49" s="9">
        <f t="shared" si="2"/>
        <v>250</v>
      </c>
      <c r="F49" s="9" t="s">
        <v>78</v>
      </c>
      <c r="G49" s="9" t="s">
        <v>79</v>
      </c>
    </row>
    <row r="50" spans="1:8" x14ac:dyDescent="0.35">
      <c r="A50" s="9" t="b">
        <v>0</v>
      </c>
      <c r="B50" s="9" t="s">
        <v>22</v>
      </c>
      <c r="C50" s="9">
        <v>400</v>
      </c>
      <c r="D50" s="9">
        <v>1.2</v>
      </c>
      <c r="E50" s="9">
        <f t="shared" si="2"/>
        <v>480</v>
      </c>
      <c r="F50" s="9" t="s">
        <v>23</v>
      </c>
      <c r="G50" s="9" t="s">
        <v>96</v>
      </c>
      <c r="H50" s="9"/>
    </row>
    <row r="51" spans="1:8" x14ac:dyDescent="0.35">
      <c r="A51" s="9"/>
      <c r="B51" s="9" t="s">
        <v>97</v>
      </c>
      <c r="C51" s="9"/>
      <c r="D51" s="9"/>
      <c r="E51" s="9"/>
      <c r="F51" s="9"/>
      <c r="G51" s="9"/>
    </row>
    <row r="52" spans="1:8" x14ac:dyDescent="0.35">
      <c r="A52" s="9" t="b">
        <v>0</v>
      </c>
      <c r="B52" s="9" t="s">
        <v>98</v>
      </c>
      <c r="C52" s="9">
        <v>400</v>
      </c>
      <c r="D52" s="9">
        <v>0.7</v>
      </c>
      <c r="E52" s="9">
        <f>C52*D52</f>
        <v>280</v>
      </c>
      <c r="F52" s="9" t="s">
        <v>99</v>
      </c>
      <c r="G52" s="9" t="s">
        <v>100</v>
      </c>
    </row>
    <row r="53" spans="1:8" x14ac:dyDescent="0.35">
      <c r="A53" s="9" t="b">
        <v>0</v>
      </c>
      <c r="B53" s="9" t="s">
        <v>101</v>
      </c>
      <c r="C53" s="9">
        <v>300</v>
      </c>
      <c r="D53" s="9">
        <v>0.75</v>
      </c>
      <c r="E53" s="9">
        <f>C53*D53</f>
        <v>225</v>
      </c>
      <c r="F53" s="9" t="s">
        <v>102</v>
      </c>
      <c r="G53" s="9" t="s">
        <v>103</v>
      </c>
    </row>
    <row r="54" spans="1:8" x14ac:dyDescent="0.35">
      <c r="A54" t="b">
        <v>0</v>
      </c>
      <c r="C54" s="3">
        <f>SUM(C2:C53)</f>
        <v>25150</v>
      </c>
      <c r="D54" s="3"/>
      <c r="E54" s="8">
        <f>SUM(E2:E53)</f>
        <v>32347.5</v>
      </c>
    </row>
    <row r="55" spans="1:8" x14ac:dyDescent="0.35">
      <c r="A55" t="b">
        <v>0</v>
      </c>
    </row>
    <row r="56" spans="1:8" x14ac:dyDescent="0.35">
      <c r="A56" t="b">
        <v>0</v>
      </c>
    </row>
    <row r="57" spans="1:8" x14ac:dyDescent="0.35">
      <c r="A57" t="b">
        <v>0</v>
      </c>
    </row>
    <row r="58" spans="1:8" x14ac:dyDescent="0.35">
      <c r="A58" t="b">
        <v>0</v>
      </c>
    </row>
    <row r="59" spans="1:8" x14ac:dyDescent="0.35">
      <c r="A59" t="b">
        <v>0</v>
      </c>
    </row>
    <row r="60" spans="1:8" x14ac:dyDescent="0.35">
      <c r="A60" t="b">
        <v>0</v>
      </c>
    </row>
    <row r="61" spans="1:8" x14ac:dyDescent="0.35">
      <c r="A61" t="b">
        <v>0</v>
      </c>
    </row>
    <row r="62" spans="1:8" x14ac:dyDescent="0.35">
      <c r="A62" t="b">
        <v>0</v>
      </c>
    </row>
    <row r="63" spans="1:8" x14ac:dyDescent="0.35">
      <c r="A63" t="b">
        <v>0</v>
      </c>
    </row>
    <row r="64" spans="1:8" x14ac:dyDescent="0.35">
      <c r="A64" t="b">
        <v>0</v>
      </c>
    </row>
    <row r="65" spans="1:1" x14ac:dyDescent="0.35">
      <c r="A65" t="b">
        <v>0</v>
      </c>
    </row>
    <row r="66" spans="1:1" x14ac:dyDescent="0.35">
      <c r="A66" t="b">
        <v>0</v>
      </c>
    </row>
    <row r="67" spans="1:1" x14ac:dyDescent="0.35">
      <c r="A67" t="b">
        <v>0</v>
      </c>
    </row>
    <row r="68" spans="1:1" x14ac:dyDescent="0.35">
      <c r="A68" t="b">
        <v>0</v>
      </c>
    </row>
    <row r="69" spans="1:1" x14ac:dyDescent="0.35">
      <c r="A69" t="b">
        <v>0</v>
      </c>
    </row>
    <row r="70" spans="1:1" x14ac:dyDescent="0.35">
      <c r="A70" t="b">
        <v>0</v>
      </c>
    </row>
    <row r="71" spans="1:1" x14ac:dyDescent="0.35">
      <c r="A71" t="b">
        <v>0</v>
      </c>
    </row>
    <row r="72" spans="1:1" x14ac:dyDescent="0.35">
      <c r="A72" t="b">
        <v>0</v>
      </c>
    </row>
  </sheetData>
  <conditionalFormatting sqref="A2:G35">
    <cfRule type="expression" dxfId="0" priority="1" stopIfTrue="1">
      <formula>$A2=TRUE()</formula>
    </cfRule>
  </conditionalFormatting>
  <hyperlinks>
    <hyperlink ref="F9" r:id="rId1" display="https://www.google.com/maps/place/data=!4m2!3m1!1s0x47747715538db01d:0x16d28a73419a5295?sa=X&amp;ved=1t:8290&amp;ictx=111" xr:uid="{00000000-0004-0000-0000-000000000000}"/>
    <hyperlink ref="F13" r:id="rId2" display="https://www.google.com/maps/place/data=!4m2!3m1!1s0x4773af04442266fd:0x116ce1c69494bb32?sa=X&amp;ved=1t:8290&amp;ictx=111" xr:uid="{00000000-0004-0000-0000-000001000000}"/>
  </hyperlinks>
  <pageMargins left="0.7" right="0.7" top="0.78740157499999996" bottom="0.78740157499999996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Holub</dc:creator>
  <cp:lastModifiedBy>Denis Holub</cp:lastModifiedBy>
  <dcterms:created xsi:type="dcterms:W3CDTF">2026-06-24T08:41:17Z</dcterms:created>
  <dcterms:modified xsi:type="dcterms:W3CDTF">2026-09-16T04:28:51Z</dcterms:modified>
</cp:coreProperties>
</file>